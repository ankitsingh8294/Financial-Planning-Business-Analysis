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Revenue Planning" sheetId="2" state="visible" r:id="rId4"/>
    <sheet name="Expense Budget" sheetId="3" state="visible" r:id="rId5"/>
    <sheet name="Budget vs Actual" sheetId="4" state="visible" r:id="rId6"/>
    <sheet name="Variance Analysis" sheetId="5" state="visible" r:id="rId7"/>
    <sheet name="Profit Planning" sheetId="6" state="visible" r:id="rId8"/>
    <sheet name="Financial Forecast" sheetId="7" state="visible" r:id="rId9"/>
    <sheet name="Scenario Analysis" sheetId="8" state="visible" r:id="rId10"/>
    <sheet name="Break-Even Analysis" sheetId="9" state="visible" r:id="rId11"/>
    <sheet name="Target Profit Analysis" sheetId="10" state="visible" r:id="rId12"/>
    <sheet name="Financial KPIs" sheetId="11" state="visible" r:id="rId13"/>
    <sheet name="Business Analysis" sheetId="12" state="visible" r:id="rId14"/>
  </sheets>
  <definedNames>
    <definedName function="false" hidden="false" localSheetId="0" name="_xlnm.Print_Area" vbProcedure="false">Dashboard!$A$1:$M$118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<sst xmlns="http://schemas.openxmlformats.org/spreadsheetml/2006/main" count="1232" uniqueCount="261">
  <si>
    <t xml:space="preserve">EXECUTIVE FINANCIAL DASHBOARD  |  Nandini FoodWorks  |  FY 2024-25 (with FY 2025-26 H1 Forecast)</t>
  </si>
  <si>
    <t xml:space="preserve">ACTUAL REVENUE</t>
  </si>
  <si>
    <t xml:space="preserve">BUDGET REVENUE</t>
  </si>
  <si>
    <t xml:space="preserve">REVENUE VARIANCE</t>
  </si>
  <si>
    <t xml:space="preserve">ACTUAL EXPENSES (incl. COGS)</t>
  </si>
  <si>
    <t xml:space="preserve">BUDGET EXPENSES (incl. COGS)</t>
  </si>
  <si>
    <t xml:space="preserve">EXPENSE VARIANCE</t>
  </si>
  <si>
    <t xml:space="preserve">GROSS PROFIT (Actual)</t>
  </si>
  <si>
    <t xml:space="preserve">NET PROFIT (Actual)</t>
  </si>
  <si>
    <t xml:space="preserve">NET PROFIT MARGIN %</t>
  </si>
  <si>
    <t xml:space="preserve">FORECAST REVENUE (Apr-Sep 25)</t>
  </si>
  <si>
    <t xml:space="preserve">FORECAST PROFIT (Apr-Sep 25)</t>
  </si>
  <si>
    <t xml:space="preserve">BUDGET ACHIEVEMENT % (Revenue)</t>
  </si>
  <si>
    <t xml:space="preserve">Chart Data (formula-linked - do not delete; charts reference these cells)</t>
  </si>
  <si>
    <t xml:space="preserve">Month</t>
  </si>
  <si>
    <t xml:space="preserve">Budget Revenue</t>
  </si>
  <si>
    <t xml:space="preserve">Actual Revenue</t>
  </si>
  <si>
    <t xml:space="preserve">Budget Expense</t>
  </si>
  <si>
    <t xml:space="preserve">Actual Expense</t>
  </si>
  <si>
    <t xml:space="preserve">Budget Profit</t>
  </si>
  <si>
    <t xml:space="preserve">Actual Profit</t>
  </si>
  <si>
    <t xml:space="preserve">Revenue Variance</t>
  </si>
  <si>
    <t xml:space="preserve">Actual Net Margin %</t>
  </si>
  <si>
    <t xml:space="preserve">Budget Net Margin %</t>
  </si>
  <si>
    <t xml:space="preserve">Actual + Forecast Revenue Trend (18 months)</t>
  </si>
  <si>
    <t xml:space="preserve">Revenue</t>
  </si>
  <si>
    <t xml:space="preserve">Expense Category Variance (Rs.)</t>
  </si>
  <si>
    <t xml:space="preserve">Category</t>
  </si>
  <si>
    <t xml:space="preserve">Variance</t>
  </si>
  <si>
    <t xml:space="preserve">Revenue by Category (Actual, Rs.)</t>
  </si>
  <si>
    <t xml:space="preserve">Filters: use the AutoFilter dropdowns on the Revenue Planning and Expense Budget sheets to filter by Month, Quarter, Revenue Category or Expense Category. Chart data above updates automatically from Budget vs Actual / Financial Forecast / Revenue Planning / Expense Budget - it is not a separate manual dataset.</t>
  </si>
  <si>
    <t xml:space="preserve">REVENUE PLANNING  |  Nandini FoodWorks  |  FY 2024-25 (Budget vs Actual) + FY 2025-26 Forecast (Apr-Sep)</t>
  </si>
  <si>
    <t xml:space="preserve">Quarter</t>
  </si>
  <si>
    <t xml:space="preserve">Budget
Volume (units)</t>
  </si>
  <si>
    <t xml:space="preserve">Budget
ASP (Rs.)</t>
  </si>
  <si>
    <t xml:space="preserve">Budget
Revenue (Rs.)</t>
  </si>
  <si>
    <t xml:space="preserve">Actual
Volume (units)</t>
  </si>
  <si>
    <t xml:space="preserve">Actual
ASP (Rs.)</t>
  </si>
  <si>
    <t xml:space="preserve">Actual
Revenue (Rs.)</t>
  </si>
  <si>
    <t xml:space="preserve">Forecast
Revenue (Rs.)</t>
  </si>
  <si>
    <t xml:space="preserve">Revenue
Variance (Rs.)</t>
  </si>
  <si>
    <t xml:space="preserve">Revenue
Variance %</t>
  </si>
  <si>
    <t xml:space="preserve">Budget COGS
Rate %</t>
  </si>
  <si>
    <t xml:space="preserve">Budget
COGS (Rs.)</t>
  </si>
  <si>
    <t xml:space="preserve">Actual COGS
Rate %</t>
  </si>
  <si>
    <t xml:space="preserve">Actual
COGS (Rs.)</t>
  </si>
  <si>
    <t xml:space="preserve">Forecast
COGS (Rs.)</t>
  </si>
  <si>
    <t xml:space="preserve">Apr-24</t>
  </si>
  <si>
    <t xml:space="preserve">Q1</t>
  </si>
  <si>
    <t xml:space="preserve">Packaged Snacks</t>
  </si>
  <si>
    <t xml:space="preserve">Beverages</t>
  </si>
  <si>
    <t xml:space="preserve">Dairy Products</t>
  </si>
  <si>
    <t xml:space="preserve">Bakery Items</t>
  </si>
  <si>
    <t xml:space="preserve">May-24</t>
  </si>
  <si>
    <t xml:space="preserve">Jun-24</t>
  </si>
  <si>
    <t xml:space="preserve">Jul-24</t>
  </si>
  <si>
    <t xml:space="preserve">Q2</t>
  </si>
  <si>
    <t xml:space="preserve">Aug-24</t>
  </si>
  <si>
    <t xml:space="preserve">Sep-24</t>
  </si>
  <si>
    <t xml:space="preserve">Oct-24</t>
  </si>
  <si>
    <t xml:space="preserve">Q3</t>
  </si>
  <si>
    <t xml:space="preserve">Nov-24</t>
  </si>
  <si>
    <t xml:space="preserve">Dec-24</t>
  </si>
  <si>
    <t xml:space="preserve">Jan-25</t>
  </si>
  <si>
    <t xml:space="preserve">Q4</t>
  </si>
  <si>
    <t xml:space="preserve">Feb-25</t>
  </si>
  <si>
    <t xml:space="preserve">Mar-25</t>
  </si>
  <si>
    <t xml:space="preserve">Apr-25</t>
  </si>
  <si>
    <t xml:space="preserve">May-25</t>
  </si>
  <si>
    <t xml:space="preserve">Jun-25</t>
  </si>
  <si>
    <t xml:space="preserve">Jul-25</t>
  </si>
  <si>
    <t xml:space="preserve">Aug-25</t>
  </si>
  <si>
    <t xml:space="preserve">Sep-25</t>
  </si>
  <si>
    <t xml:space="preserve">Note: Forecast Revenue is populated only for Apr-25 to Sep-25 (see Financial Forecast sheet for method). Budget/Actual Volume, ASP and COGS are historical FY 2024-25 inputs (blue cells); all Revenue and COGS amounts are formulas (black).</t>
  </si>
  <si>
    <t xml:space="preserve">Summary by Revenue Category (FY 2024-25)</t>
  </si>
  <si>
    <t xml:space="preserve">Revenue Variance %</t>
  </si>
  <si>
    <t xml:space="preserve">Actual Gross Margin %</t>
  </si>
  <si>
    <t xml:space="preserve">EXPENSE BUDGET  |  Nandini FoodWorks  |  FY 2024-25 (Budget vs Actual)</t>
  </si>
  <si>
    <t xml:space="preserve">Expense Category</t>
  </si>
  <si>
    <t xml:space="preserve">Type</t>
  </si>
  <si>
    <t xml:space="preserve">Budget
Expense (Rs.)</t>
  </si>
  <si>
    <t xml:space="preserve">Actual
Expense (Rs.)</t>
  </si>
  <si>
    <t xml:space="preserve">Variance
(Rs.)</t>
  </si>
  <si>
    <t xml:space="preserve">Variance
%</t>
  </si>
  <si>
    <t xml:space="preserve">Status</t>
  </si>
  <si>
    <t xml:space="preserve">Salaries</t>
  </si>
  <si>
    <t xml:space="preserve">Fixed</t>
  </si>
  <si>
    <t xml:space="preserve">Rent</t>
  </si>
  <si>
    <t xml:space="preserve">Utilities</t>
  </si>
  <si>
    <t xml:space="preserve">Variable</t>
  </si>
  <si>
    <t xml:space="preserve">Marketing</t>
  </si>
  <si>
    <t xml:space="preserve">Technology</t>
  </si>
  <si>
    <t xml:space="preserve">Transportation</t>
  </si>
  <si>
    <t xml:space="preserve">Office Expenses</t>
  </si>
  <si>
    <t xml:space="preserve">Maintenance</t>
  </si>
  <si>
    <t xml:space="preserve">Other Operating Expenses</t>
  </si>
  <si>
    <t xml:space="preserve">Expense variance logic: Actual &gt; Budget = Unfavourable (cost overrun); Actual &lt; Budget = Favourable (cost saving); within +/-2% = On Target. Status tolerance is a planning convention, not an accounting standard.</t>
  </si>
  <si>
    <t xml:space="preserve">Summary by Expense Category (FY 2024-25)</t>
  </si>
  <si>
    <t xml:space="preserve">Budget (Rs.)</t>
  </si>
  <si>
    <t xml:space="preserve">Actual (Rs.)</t>
  </si>
  <si>
    <t xml:space="preserve">Variance (Rs.)</t>
  </si>
  <si>
    <t xml:space="preserve">Variance %</t>
  </si>
  <si>
    <t xml:space="preserve">Summary by Cost Type (FY 2024-25)</t>
  </si>
  <si>
    <t xml:space="preserve">Forecast Expense (Apr-25 to Sep-25) - trend-based, see Financial Forecast sheet for method</t>
  </si>
  <si>
    <t xml:space="preserve">Forecast
Expense (Rs.)</t>
  </si>
  <si>
    <t xml:space="preserve">BUDGET vs ACTUAL  |  Monthly Revenue, Expense &amp; Net Profit  |  FY 2024-25</t>
  </si>
  <si>
    <t xml:space="preserve">Budget
Revenue</t>
  </si>
  <si>
    <t xml:space="preserve">Actual
Revenue</t>
  </si>
  <si>
    <t xml:space="preserve">Revenue
Variance</t>
  </si>
  <si>
    <t xml:space="preserve">Revenue
Var %</t>
  </si>
  <si>
    <t xml:space="preserve">Revenue
Status</t>
  </si>
  <si>
    <t xml:space="preserve">Budget
Expense (incl. COGS)</t>
  </si>
  <si>
    <t xml:space="preserve">Actual
Expense (incl. COGS)</t>
  </si>
  <si>
    <t xml:space="preserve">Expense
Variance</t>
  </si>
  <si>
    <t xml:space="preserve">Expense
Var %</t>
  </si>
  <si>
    <t xml:space="preserve">Expense
Status</t>
  </si>
  <si>
    <t xml:space="preserve">Budget
Net Profit</t>
  </si>
  <si>
    <t xml:space="preserve">Actual
Net Profit</t>
  </si>
  <si>
    <t xml:space="preserve">Profit
Variance</t>
  </si>
  <si>
    <t xml:space="preserve">Profit
Var %</t>
  </si>
  <si>
    <t xml:space="preserve">Profit
Status</t>
  </si>
  <si>
    <t xml:space="preserve">FY 2024-25 Total</t>
  </si>
  <si>
    <t xml:space="preserve">Expense figures here include Cost of Goods Sold (COGS) from the Revenue Planning sheet plus all operating expenses from the Expense Budget sheet, so Net Profit = Revenue - COGS - Operating Expenses.</t>
  </si>
  <si>
    <t xml:space="preserve">VARIANCE ANALYSIS  |  Revenue Volume/Price Decomposition &amp; Profit Variance Drivers  |  FY 2024-25</t>
  </si>
  <si>
    <t xml:space="preserve">Revenue
Budget</t>
  </si>
  <si>
    <t xml:space="preserve">Revenue
Actual</t>
  </si>
  <si>
    <t xml:space="preserve">Volume
Variance (Rs.)</t>
  </si>
  <si>
    <t xml:space="preserve">Price
Variance (Rs.)</t>
  </si>
  <si>
    <t xml:space="preserve">Expense
Budget</t>
  </si>
  <si>
    <t xml:space="preserve">Expense
Actual</t>
  </si>
  <si>
    <t xml:space="preserve">Profit
Budget</t>
  </si>
  <si>
    <t xml:space="preserve">Profit
Actual</t>
  </si>
  <si>
    <t xml:space="preserve">Likely Driver</t>
  </si>
  <si>
    <t xml:space="preserve">Volume Variance = (Actual Volume - Budget Volume) x Budget ASP, summed across all 4 categories for the month. Price Variance = (Actual ASP - Budget ASP) x Actual Volume, summed across all 4 categories. Volume + Price Variance approximates the total Revenue Variance (a small joint volume-price interaction term is not separately shown). 'Likely Driver' flags whichever of Sales Volume, Selling Price or Operating Cost has the largest absolute variance that month.</t>
  </si>
  <si>
    <t xml:space="preserve">PROFIT PLANNING  |  Contribution Margin Model (Revenue - Variable Costs = Contribution - Fixed Costs = Net Profit)</t>
  </si>
  <si>
    <t xml:space="preserve">BUDGET</t>
  </si>
  <si>
    <t xml:space="preserve">ACTUAL</t>
  </si>
  <si>
    <t xml:space="preserve">Variable
Costs</t>
  </si>
  <si>
    <t xml:space="preserve">Contribution</t>
  </si>
  <si>
    <t xml:space="preserve">Contribution
Margin %</t>
  </si>
  <si>
    <t xml:space="preserve">Fixed
Costs</t>
  </si>
  <si>
    <t xml:space="preserve">Net Profit</t>
  </si>
  <si>
    <t xml:space="preserve">Variable Costs = Cost of Goods Sold (COGS) + variable-classified operating expenses (Utilities, Marketing, Transportation, Maintenance, Other Operating Expenses). Fixed Costs = Salaries, Rent, Technology, Office Expenses. This model assumes no interest or tax expense, so Net Profit shown here equals Operating Profit.</t>
  </si>
  <si>
    <t xml:space="preserve">FINANCIAL FORECAST  |  Last 3 Months Actual (Context) + 6-Month Forward Forecast (Apr-25 to Sep-25)</t>
  </si>
  <si>
    <t xml:space="preserve">Forecast Methodology</t>
  </si>
  <si>
    <t xml:space="preserve">Method: Trend-based forecasting. For each revenue category and each expense category, the average month-on-month growth rate is calculated from the 12 months of FY 2024-25 Actuals, then applied forward month by month from the Mar-25 actual base. The growth rate is capped to a realistic range (revenue: -1% to +3% per month; expenses: -1% to +2% per month) to avoid compounding outlier months. COGS is forecast using each category's average actual COGS-to-revenue ratio for FY 2024-25.</t>
  </si>
  <si>
    <t xml:space="preserve">Key assumptions: product mix, pricing strategy and cost structure remain broadly similar to FY 2024-25; no major new product launch, competitor action or input-cost shock is factored in.</t>
  </si>
  <si>
    <t xml:space="preserve">Limitations: a simple trend/average-growth model does not capture demand shocks (e.g. festive spikes), so it should be read as a directional planning estimate, not a guaranteed outcome. It also does not model financing, tax or one-off costs.</t>
  </si>
  <si>
    <t xml:space="preserve">Period Type</t>
  </si>
  <si>
    <t xml:space="preserve">Expense
(incl. COGS)</t>
  </si>
  <si>
    <t xml:space="preserve">Net Profit
Margin %</t>
  </si>
  <si>
    <t xml:space="preserve">MoM Revenue
Growth %</t>
  </si>
  <si>
    <t xml:space="preserve">Actual</t>
  </si>
  <si>
    <t xml:space="preserve">Forecast</t>
  </si>
  <si>
    <t xml:space="preserve">Apr-Sep 2025 Forecast Total</t>
  </si>
  <si>
    <t xml:space="preserve">SCENARIO / WHAT-IF ANALYSIS  |  FY 2025-26 Projection off FY 2024-25 Actual Base</t>
  </si>
  <si>
    <t xml:space="preserve">Assumption / Output</t>
  </si>
  <si>
    <t xml:space="preserve">Conservative</t>
  </si>
  <si>
    <t xml:space="preserve">Base Case</t>
  </si>
  <si>
    <t xml:space="preserve">Optimistic</t>
  </si>
  <si>
    <t xml:space="preserve">Notes</t>
  </si>
  <si>
    <t xml:space="preserve">Volume Change % (input)</t>
  </si>
  <si>
    <t xml:space="preserve">Change in units sold vs FY 2024-25 actual, by scenario</t>
  </si>
  <si>
    <t xml:space="preserve">Selling Price Change % (input)</t>
  </si>
  <si>
    <t xml:space="preserve">Average selling price change vs FY 2024-25 actual</t>
  </si>
  <si>
    <t xml:space="preserve">Implied Revenue Growth %</t>
  </si>
  <si>
    <t xml:space="preserve">Formula: (1+Volume%) x (1+Price%) - 1</t>
  </si>
  <si>
    <t xml:space="preserve">Expense Growth % (input)</t>
  </si>
  <si>
    <t xml:space="preserve">Growth in total operating expenses (incl. COGS ratio held constant)</t>
  </si>
  <si>
    <t xml:space="preserve">Base Revenue - FY 2024-25 Actual (Rs.)</t>
  </si>
  <si>
    <t xml:space="preserve">Reference: 'Budget vs Actual' FY Total Actual Revenue</t>
  </si>
  <si>
    <t xml:space="preserve">Projected Revenue (Rs.)</t>
  </si>
  <si>
    <t xml:space="preserve">Base Revenue x (1 + Implied Revenue Growth %)</t>
  </si>
  <si>
    <t xml:space="preserve">Base Total Cost - FY 2024-25 Actual (Rs.)</t>
  </si>
  <si>
    <t xml:space="preserve">COGS + Operating Expenses, FY 2024-25 Actual</t>
  </si>
  <si>
    <t xml:space="preserve">Projected Total Cost (Rs.)</t>
  </si>
  <si>
    <t xml:space="preserve">Base Total Cost x (1 + Expense Growth %)</t>
  </si>
  <si>
    <t xml:space="preserve">Projected Net Profit (Rs.)</t>
  </si>
  <si>
    <t xml:space="preserve">Projected Revenue - Projected Total Cost</t>
  </si>
  <si>
    <t xml:space="preserve">Projected Net Profit Margin %</t>
  </si>
  <si>
    <t xml:space="preserve">Projected Net Profit / Projected Revenue</t>
  </si>
  <si>
    <t xml:space="preserve">Blue cells are editable scenario levers. Change Volume %, Price %, or Expense Growth % for any scenario and every downstream figure recalculates. Base figures are FY 2024-25 Actuals (Revenue Planning / Expense Budget). COGS-to-revenue ratio is assumed to stay at the FY 2024-25 blended level within each scenario's projected total cost.</t>
  </si>
  <si>
    <t xml:space="preserve">BREAK-EVEN ANALYSIS  |  FY 2024-25 Actual Basis (Blended Product Mix)</t>
  </si>
  <si>
    <t xml:space="preserve">Metric</t>
  </si>
  <si>
    <t xml:space="preserve">Value</t>
  </si>
  <si>
    <t xml:space="preserve">Actual Revenue (Rs.)</t>
  </si>
  <si>
    <t xml:space="preserve">FY 2024-25 Total Actual Revenue</t>
  </si>
  <si>
    <t xml:space="preserve">Actual Variable Costs (Rs.)</t>
  </si>
  <si>
    <t xml:space="preserve">COGS + variable operating expenses</t>
  </si>
  <si>
    <t xml:space="preserve">Contribution Margin (Rs.)</t>
  </si>
  <si>
    <t xml:space="preserve">Revenue - Variable Costs</t>
  </si>
  <si>
    <t xml:space="preserve">Contribution Margin Ratio</t>
  </si>
  <si>
    <t xml:space="preserve">Contribution Margin / Revenue</t>
  </si>
  <si>
    <t xml:space="preserve">Actual Fixed Costs (Rs.)</t>
  </si>
  <si>
    <t xml:space="preserve">FY 2024-25 Total Actual Fixed Costs</t>
  </si>
  <si>
    <t xml:space="preserve">Break-Even Revenue (Rs.)</t>
  </si>
  <si>
    <t xml:space="preserve">Fixed Costs / Contribution Margin Ratio</t>
  </si>
  <si>
    <t xml:space="preserve">Total Actual Volume (units)</t>
  </si>
  <si>
    <t xml:space="preserve">Sum of all 4 categories, FY 2024-25 Actual</t>
  </si>
  <si>
    <t xml:space="preserve">Blended Avg Selling Price (Rs./unit)</t>
  </si>
  <si>
    <t xml:space="preserve">Actual Revenue / Total Actual Volume</t>
  </si>
  <si>
    <t xml:space="preserve">Blended Avg Variable Cost (Rs./unit)</t>
  </si>
  <si>
    <t xml:space="preserve">Actual Variable Costs / Total Actual Volume</t>
  </si>
  <si>
    <t xml:space="preserve">Break-Even Volume (units)</t>
  </si>
  <si>
    <t xml:space="preserve">Fixed Costs / (Avg Selling Price - Avg Variable Cost per unit)</t>
  </si>
  <si>
    <t xml:space="preserve">Actual Revenue vs Break-Even (Margin of Safety, Rs.)</t>
  </si>
  <si>
    <t xml:space="preserve">Actual Revenue - Break-Even Revenue</t>
  </si>
  <si>
    <t xml:space="preserve">Margin of Safety %</t>
  </si>
  <si>
    <t xml:space="preserve">Margin of Safety Rs. / Actual Revenue</t>
  </si>
  <si>
    <t xml:space="preserve">Assumptions: (1) Blended figures assume the FY 2024-25 actual product mix and cost structure hold steady - break-even for an individual product would differ. (2) Fixed costs are treated as fixed within the FY 2024-25 operating range; a large change in scale could shift some 'fixed' costs (e.g. additional staff or space).</t>
  </si>
  <si>
    <t xml:space="preserve">TARGET PROFIT ANALYSIS  |  Revenue Required to Achieve a Management Profit Target (FY 2025-26 Planning)</t>
  </si>
  <si>
    <t xml:space="preserve">Current Revenue - FY 2024-25 Actual (Rs.)</t>
  </si>
  <si>
    <t xml:space="preserve">Reference base</t>
  </si>
  <si>
    <t xml:space="preserve">Current Net Profit - FY 2024-25 Actual (Rs.)</t>
  </si>
  <si>
    <t xml:space="preserve">From Break-Even Analysis</t>
  </si>
  <si>
    <t xml:space="preserve">Fixed Costs (Rs.)</t>
  </si>
  <si>
    <t xml:space="preserve">Target Profit (Rs.) - input</t>
  </si>
  <si>
    <t xml:space="preserve">Management target for FY 2025-26 (editable input)</t>
  </si>
  <si>
    <t xml:space="preserve">Required Revenue (Rs.)</t>
  </si>
  <si>
    <t xml:space="preserve">(Fixed Costs + Target Profit) / Contribution Margin Ratio</t>
  </si>
  <si>
    <t xml:space="preserve">Additional Revenue Required (Rs.)</t>
  </si>
  <si>
    <t xml:space="preserve">Required Revenue - Current Revenue</t>
  </si>
  <si>
    <t xml:space="preserve">Additional Revenue Required (%)</t>
  </si>
  <si>
    <t xml:space="preserve">Additional Revenue Required / Current Revenue</t>
  </si>
  <si>
    <t xml:space="preserve">Change the Target Profit input (yellow cell) to see the Required Revenue recalculate instantly. The model assumes the FY 2024-25 blended Contribution Margin Ratio holds - a materially different product mix would change the ratio and result.</t>
  </si>
  <si>
    <t xml:space="preserve">FINANCIAL KPIs  |  FY 2024-25 Actual Performance</t>
  </si>
  <si>
    <t xml:space="preserve">KPI</t>
  </si>
  <si>
    <t xml:space="preserve">Calculation</t>
  </si>
  <si>
    <t xml:space="preserve">Revenue Growth % (H2 vs H1 FY 2024-25)</t>
  </si>
  <si>
    <t xml:space="preserve">2nd-half Actual Revenue vs 1st-half Actual Revenue</t>
  </si>
  <si>
    <t xml:space="preserve">Gross Profit Margin % (Actual)</t>
  </si>
  <si>
    <t xml:space="preserve">(Revenue - COGS) / Revenue</t>
  </si>
  <si>
    <t xml:space="preserve">Operating Margin % (Actual)</t>
  </si>
  <si>
    <t xml:space="preserve">Net Profit / Revenue (no separate financing/tax layer modelled)</t>
  </si>
  <si>
    <t xml:space="preserve">Net Profit Margin % (Actual)</t>
  </si>
  <si>
    <t xml:space="preserve">Net Profit / Revenue</t>
  </si>
  <si>
    <t xml:space="preserve">Expense Ratio % (Actual, incl. COGS)</t>
  </si>
  <si>
    <t xml:space="preserve">Total Expense (incl. COGS) / Revenue</t>
  </si>
  <si>
    <t xml:space="preserve">Budget Achievement % (Revenue)</t>
  </si>
  <si>
    <t xml:space="preserve">Actual Revenue / Budget Revenue</t>
  </si>
  <si>
    <t xml:space="preserve">Forecast Growth % (Apr-Sep 25 vs Apr-Sep 24)</t>
  </si>
  <si>
    <t xml:space="preserve">Forecast Revenue (Apr-Sep 25) / Actual Revenue (Apr-Sep 24) - 1</t>
  </si>
  <si>
    <t xml:space="preserve">Contribution Margin %</t>
  </si>
  <si>
    <t xml:space="preserve">Target Profit Gap - Additional Revenue Needed (Rs.)</t>
  </si>
  <si>
    <t xml:space="preserve">From Target Profit Analysis</t>
  </si>
  <si>
    <t xml:space="preserve">BUSINESS ANALYSIS &amp; RECOMMENDATIONS  |  FY 2024-25</t>
  </si>
  <si>
    <t xml:space="preserve">Key Data Points (formula-driven, from Revenue Planning / Expense Budget / Budget vs Actual)</t>
  </si>
  <si>
    <t xml:space="preserve">Category / Month</t>
  </si>
  <si>
    <t xml:space="preserve">Best-performing revenue category (highest Rev. Variance %)</t>
  </si>
  <si>
    <t xml:space="preserve">Weakest-performing revenue category (lowest Rev. Variance %)</t>
  </si>
  <si>
    <t xml:space="preserve">Largest expense category (by Actual Rs.)</t>
  </si>
  <si>
    <t xml:space="preserve">Largest unfavourable expense variance % (category)</t>
  </si>
  <si>
    <t xml:space="preserve">Strongest profit month (highest Profit Variance %)</t>
  </si>
  <si>
    <t xml:space="preserve">Weakest profit month (lowest Profit Variance %)</t>
  </si>
  <si>
    <t xml:space="preserve">Management Commentary</t>
  </si>
  <si>
    <t xml:space="preserve">REVENUE PERFORMANCE: FY 2024-25 Actual Revenue closed at Rs. 3.56 crore against a Budget of Rs. 3.57 crore (-0.35%), effectively on target for the year, but the monthly pattern hides two distinct stories. Packaged Snacks (~0.0% variance) and Dairy Products (+0.5%) met or beat budget for the year. Beverages missed budget by the widest margin (-1.9%), driven almost entirely by a monsoon-season volume shortfall in Jul-24 and Aug-24. Bakery Items was marginally short (-0.3%).</t>
  </si>
  <si>
    <t xml:space="preserve">SEASONAL PATTERN: Oct-24 and Nov-24 (festive season) were the strongest months, with Actual Profit beating Budget by +18% and +13% respectively - marketing spend was intentionally increased ahead of the festive period and volume response more than covered the extra cost. Jan-25 was the weakest month (Actual Profit -37% vs Budget), consistent with a post-festive demand slowdown combined with a distributor stock correction. Jul-24 and Aug-24 (monsoon) were also unfavourable (-16% and -23%), linked to lower dispatch volumes and a rise in the Dairy/Bakery input-cost ratio.</t>
  </si>
  <si>
    <t xml:space="preserve">EXPENSE DISCIPLINE: Total FY 2024-25 Operating Expenses were only 0.6% over budget, so overall cost control was strong. Salaries is the single largest expense line (~Rs. 35.5 lakh Actual) and ran close to budget (+0.5%). The largest percentage overrun was Office Expenses (+2.0%) and Utilities (+1.9%), both small in absolute Rs. terms. Marketing ran +1.6% over budget, concentrated in the festive months - a deliberate, revenue-linked overspend rather than a control gap.</t>
  </si>
  <si>
    <t xml:space="preserve">MARGIN STRUCTURE: Dairy Products carries the lowest gross margin of the four categories (~31%) due to a higher cost-of-goods ratio for perishables, versus ~38-43% for the other three categories. Since Dairy is also one of the two largest revenue categories, its margin drag is a meaningful factor in the blended FY margin - see Break-Even Analysis for the blended Contribution Margin Ratio.</t>
  </si>
  <si>
    <t xml:space="preserve">RECOMMENDATIONS: (1) Build a monsoon contingency into the Jul-Aug budget for Beverages and Bakery Items - volume and input-cost assumptions should be set below the FY average rather than flat, based on this year's actual pattern. (2) Treat the Oct-Nov festive marketing increase as a repeatable, budgeted play for FY 2025-26 given its proven payback. (3) Investigate the Jan-25 shortfall further before finalising the FY 2025-26 January budget - if it is a recurring post-festive pattern, budget it accordingly rather than as a flat continuation of December. (4) Review Dairy Products input-sourcing or pricing, since its lower gross margin dilutes the blended Contribution Margin Ratio used for the Break-Even and Target Profit models.</t>
  </si>
  <si>
    <t xml:space="preserve">All figures above are computed directly from the Revenue Planning, Expense Budget and Budget vs Actual sheets; the commentary summarises those computed results and does not introduce numbers outside the model.</t>
  </si>
</sst>
</file>

<file path=xl/styles.xml><?xml version="1.0" encoding="utf-8"?>
<styleSheet xmlns="http://schemas.openxmlformats.org/spreadsheetml/2006/main">
  <numFmts count="5">
    <numFmt numFmtId="164" formatCode="General"/>
    <numFmt numFmtId="165" formatCode="#,##0;\(#,##0\);\-"/>
    <numFmt numFmtId="166" formatCode="0.0%;\(0.0%\);\-"/>
    <numFmt numFmtId="167" formatCode="#,##0"/>
    <numFmt numFmtId="168" formatCode="#,##0.00;\(#,##0.00\);\-"/>
  </numFmts>
  <fonts count="18">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9"/>
      <color rgb="FFFFFFFF"/>
      <name val="Arial"/>
      <family val="0"/>
      <charset val="1"/>
    </font>
    <font>
      <b val="true"/>
      <sz val="13"/>
      <color rgb="FF1F3864"/>
      <name val="Arial"/>
      <family val="0"/>
      <charset val="1"/>
    </font>
    <font>
      <b val="true"/>
      <sz val="12"/>
      <color rgb="FF1F3864"/>
      <name val="Arial"/>
      <family val="0"/>
      <charset val="1"/>
    </font>
    <font>
      <b val="true"/>
      <sz val="10"/>
      <color rgb="FFFFFFFF"/>
      <name val="Arial"/>
      <family val="0"/>
      <charset val="1"/>
    </font>
    <font>
      <sz val="10"/>
      <color rgb="FF008000"/>
      <name val="Arial"/>
      <family val="0"/>
      <charset val="1"/>
    </font>
    <font>
      <sz val="10"/>
      <color rgb="FF000000"/>
      <name val="Arial"/>
      <family val="0"/>
      <charset val="1"/>
    </font>
    <font>
      <i val="true"/>
      <sz val="9"/>
      <color rgb="FF595959"/>
      <name val="Arial"/>
      <family val="0"/>
      <charset val="1"/>
    </font>
    <font>
      <b val="true"/>
      <sz val="18"/>
      <color rgb="FF000000"/>
      <name val="Calibri"/>
      <family val="2"/>
    </font>
    <font>
      <sz val="10"/>
      <color rgb="FF000000"/>
      <name val="Calibri"/>
      <family val="2"/>
    </font>
    <font>
      <b val="true"/>
      <sz val="10"/>
      <color rgb="FF000000"/>
      <name val="Calibri"/>
      <family val="2"/>
    </font>
    <font>
      <sz val="10"/>
      <name val="Arial"/>
      <family val="0"/>
      <charset val="1"/>
    </font>
    <font>
      <sz val="10"/>
      <color rgb="FF0000FF"/>
      <name val="Arial"/>
      <family val="0"/>
      <charset val="1"/>
    </font>
    <font>
      <b val="true"/>
      <sz val="10"/>
      <name val="Arial"/>
      <family val="0"/>
      <charset val="1"/>
    </font>
  </fonts>
  <fills count="8">
    <fill>
      <patternFill patternType="none"/>
    </fill>
    <fill>
      <patternFill patternType="gray125"/>
    </fill>
    <fill>
      <patternFill patternType="solid">
        <fgColor rgb="FF1F3864"/>
        <bgColor rgb="FF2E5395"/>
      </patternFill>
    </fill>
    <fill>
      <patternFill patternType="solid">
        <fgColor rgb="FF2E5395"/>
        <bgColor rgb="FF1F3864"/>
      </patternFill>
    </fill>
    <fill>
      <patternFill patternType="solid">
        <fgColor rgb="FFEAF0FA"/>
        <bgColor rgb="FFF2F2F2"/>
      </patternFill>
    </fill>
    <fill>
      <patternFill patternType="solid">
        <fgColor rgb="FFD9E1F2"/>
        <bgColor rgb="FFD9D9D9"/>
      </patternFill>
    </fill>
    <fill>
      <patternFill patternType="solid">
        <fgColor rgb="FFFFF2CC"/>
        <bgColor rgb="FFFCE4E4"/>
      </patternFill>
    </fill>
    <fill>
      <patternFill patternType="solid">
        <fgColor rgb="FFF2F2F2"/>
        <bgColor rgb="FFEAF0F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center" textRotation="0" wrapText="false" indent="1" shrinkToFit="false"/>
      <protection locked="true" hidden="false"/>
    </xf>
    <xf numFmtId="164" fontId="5" fillId="3" borderId="1" xfId="0" applyFont="true" applyBorder="true" applyAlignment="true" applyProtection="true">
      <alignment horizontal="center" vertical="center" textRotation="0" wrapText="true" indent="0" shrinkToFit="false"/>
      <protection locked="true" hidden="false"/>
    </xf>
    <xf numFmtId="165" fontId="6" fillId="4" borderId="1" xfId="0" applyFont="true" applyBorder="true" applyAlignment="true" applyProtection="true">
      <alignment horizontal="center" vertical="center" textRotation="0" wrapText="false" indent="0" shrinkToFit="false"/>
      <protection locked="true" hidden="false"/>
    </xf>
    <xf numFmtId="166" fontId="6" fillId="4" borderId="1"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2" borderId="1" xfId="0" applyFont="true" applyBorder="true" applyAlignment="true" applyProtection="true">
      <alignment horizontal="center" vertical="center"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general" vertical="bottom" textRotation="0" wrapText="false" indent="0" shrinkToFit="false"/>
      <protection locked="true" hidden="false"/>
    </xf>
    <xf numFmtId="166"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top" textRotation="0" wrapText="true" indent="0" shrinkToFit="false"/>
      <protection locked="true" hidden="false"/>
    </xf>
    <xf numFmtId="164" fontId="15" fillId="0" borderId="1" xfId="0" applyFont="true" applyBorder="true" applyAlignment="true" applyProtection="true">
      <alignment horizontal="general" vertical="bottom" textRotation="0" wrapText="false" indent="0" shrinkToFit="false"/>
      <protection locked="true" hidden="false"/>
    </xf>
    <xf numFmtId="167" fontId="16" fillId="0" borderId="1" xfId="0" applyFont="true" applyBorder="true" applyAlignment="true" applyProtection="true">
      <alignment horizontal="general" vertical="bottom" textRotation="0" wrapText="false" indent="0" shrinkToFit="false"/>
      <protection locked="true" hidden="false"/>
    </xf>
    <xf numFmtId="168" fontId="16" fillId="0" borderId="1" xfId="0" applyFont="true" applyBorder="true" applyAlignment="true" applyProtection="true">
      <alignment horizontal="general" vertical="bottom" textRotation="0" wrapText="false" indent="0" shrinkToFit="false"/>
      <protection locked="true" hidden="false"/>
    </xf>
    <xf numFmtId="165" fontId="10" fillId="0" borderId="1" xfId="0" applyFont="true" applyBorder="true" applyAlignment="true" applyProtection="true">
      <alignment horizontal="general" vertical="bottom" textRotation="0" wrapText="false" indent="0" shrinkToFit="false"/>
      <protection locked="true" hidden="false"/>
    </xf>
    <xf numFmtId="165" fontId="0" fillId="0" borderId="1" xfId="0" applyFont="false" applyBorder="true" applyAlignment="true" applyProtection="true">
      <alignment horizontal="general" vertical="bottom" textRotation="0" wrapText="false" indent="0" shrinkToFit="false"/>
      <protection locked="true" hidden="false"/>
    </xf>
    <xf numFmtId="166" fontId="10" fillId="0" borderId="1" xfId="0" applyFont="true" applyBorder="true" applyAlignment="true" applyProtection="true">
      <alignment horizontal="general" vertical="bottom" textRotation="0" wrapText="false" indent="0" shrinkToFit="false"/>
      <protection locked="true" hidden="false"/>
    </xf>
    <xf numFmtId="166" fontId="16" fillId="0" borderId="1" xfId="0" applyFont="true" applyBorder="true" applyAlignment="true" applyProtection="true">
      <alignment horizontal="general" vertical="bottom" textRotation="0" wrapText="false" indent="0" shrinkToFit="false"/>
      <protection locked="true" hidden="false"/>
    </xf>
    <xf numFmtId="167" fontId="0" fillId="0" borderId="1" xfId="0" applyFont="false" applyBorder="true" applyAlignment="true" applyProtection="true">
      <alignment horizontal="general" vertical="bottom" textRotation="0" wrapText="false" indent="0" shrinkToFit="false"/>
      <protection locked="true" hidden="false"/>
    </xf>
    <xf numFmtId="168" fontId="0" fillId="0" borderId="1" xfId="0" applyFont="false" applyBorder="true" applyAlignment="true" applyProtection="true">
      <alignment horizontal="general" vertical="bottom" textRotation="0" wrapText="false" indent="0" shrinkToFit="false"/>
      <protection locked="true" hidden="false"/>
    </xf>
    <xf numFmtId="165" fontId="16" fillId="0" borderId="1" xfId="0" applyFont="true" applyBorder="true" applyAlignment="true" applyProtection="true">
      <alignment horizontal="general" vertical="bottom" textRotation="0" wrapText="false" indent="0" shrinkToFit="false"/>
      <protection locked="true" hidden="false"/>
    </xf>
    <xf numFmtId="166" fontId="0" fillId="0" borderId="1" xfId="0" applyFont="false" applyBorder="true" applyAlignment="true" applyProtection="true">
      <alignment horizontal="general" vertical="bottom" textRotation="0" wrapText="false" indent="0" shrinkToFit="false"/>
      <protection locked="true" hidden="false"/>
    </xf>
    <xf numFmtId="164" fontId="15" fillId="0" borderId="0" xfId="0" applyFont="true" applyBorder="true" applyAlignment="true" applyProtection="true">
      <alignment horizontal="general" vertical="bottom" textRotation="0" wrapText="false" indent="0" shrinkToFit="false"/>
      <protection locked="true" hidden="false"/>
    </xf>
    <xf numFmtId="165" fontId="10" fillId="0" borderId="0" xfId="0" applyFont="true" applyBorder="true" applyAlignment="true" applyProtection="true">
      <alignment horizontal="general" vertical="bottom" textRotation="0" wrapText="false" indent="0" shrinkToFit="false"/>
      <protection locked="true" hidden="false"/>
    </xf>
    <xf numFmtId="165" fontId="10" fillId="0" borderId="0" xfId="0" applyFont="true" applyBorder="fals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5" fontId="9" fillId="0" borderId="1" xfId="0" applyFont="true" applyBorder="true" applyAlignment="true" applyProtection="true">
      <alignment horizontal="general" vertical="bottom" textRotation="0" wrapText="false" indent="0" shrinkToFit="false"/>
      <protection locked="true" hidden="false"/>
    </xf>
    <xf numFmtId="164" fontId="17" fillId="5" borderId="1" xfId="0" applyFont="true" applyBorder="true" applyAlignment="true" applyProtection="true">
      <alignment horizontal="general" vertical="bottom" textRotation="0" wrapText="false" indent="0" shrinkToFit="false"/>
      <protection locked="true" hidden="false"/>
    </xf>
    <xf numFmtId="165" fontId="17" fillId="5" borderId="1" xfId="0" applyFont="true" applyBorder="true" applyAlignment="true" applyProtection="true">
      <alignment horizontal="general" vertical="bottom" textRotation="0" wrapText="false" indent="0" shrinkToFit="false"/>
      <protection locked="true" hidden="false"/>
    </xf>
    <xf numFmtId="166" fontId="17" fillId="5" borderId="1" xfId="0" applyFont="true" applyBorder="true" applyAlignment="true" applyProtection="true">
      <alignment horizontal="general"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17" fillId="0" borderId="1" xfId="0" applyFont="true" applyBorder="true" applyAlignment="true" applyProtection="true">
      <alignment horizontal="general" vertical="bottom" textRotation="0" wrapText="false" indent="0" shrinkToFit="false"/>
      <protection locked="true" hidden="false"/>
    </xf>
    <xf numFmtId="166" fontId="16" fillId="6" borderId="1"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7" fontId="10" fillId="0" borderId="1" xfId="0" applyFont="true" applyBorder="true" applyAlignment="true" applyProtection="true">
      <alignment horizontal="general" vertical="bottom" textRotation="0" wrapText="false" indent="0" shrinkToFit="false"/>
      <protection locked="true" hidden="false"/>
    </xf>
    <xf numFmtId="168" fontId="10" fillId="0" borderId="1" xfId="0" applyFont="true" applyBorder="true" applyAlignment="true" applyProtection="true">
      <alignment horizontal="general" vertical="bottom" textRotation="0" wrapText="false" indent="0" shrinkToFit="false"/>
      <protection locked="true" hidden="false"/>
    </xf>
    <xf numFmtId="166" fontId="9" fillId="0" borderId="1" xfId="0" applyFont="true" applyBorder="true" applyAlignment="true" applyProtection="true">
      <alignment horizontal="general" vertical="bottom" textRotation="0" wrapText="false" indent="0" shrinkToFit="false"/>
      <protection locked="true" hidden="false"/>
    </xf>
    <xf numFmtId="165" fontId="16" fillId="6" borderId="1" xfId="0" applyFont="true" applyBorder="true" applyAlignment="true" applyProtection="true">
      <alignment horizontal="general" vertical="bottom" textRotation="0" wrapText="false" indent="0" shrinkToFit="false"/>
      <protection locked="true" hidden="false"/>
    </xf>
    <xf numFmtId="166" fontId="9" fillId="7" borderId="1" xfId="0" applyFont="true" applyBorder="true" applyAlignment="true" applyProtection="true">
      <alignment horizontal="general" vertical="bottom" textRotation="0" wrapText="false" indent="0" shrinkToFit="false"/>
      <protection locked="true" hidden="false"/>
    </xf>
    <xf numFmtId="165" fontId="9" fillId="7" borderId="1"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E2EFDA"/>
          <bgColor rgb="FF000000"/>
        </patternFill>
      </fill>
    </dxf>
    <dxf>
      <fill>
        <patternFill patternType="solid">
          <fgColor rgb="FFFCE4E4"/>
          <bgColor rgb="FF000000"/>
        </patternFill>
      </fill>
    </dxf>
    <dxf>
      <fill>
        <patternFill>
          <bgColor rgb="FFFCE4E4"/>
        </patternFill>
      </fill>
    </dxf>
    <dxf>
      <fill>
        <patternFill>
          <bgColor rgb="FFE2EF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BE4B48"/>
      <rgbColor rgb="FFFFF2CC"/>
      <rgbColor rgb="FFEAF0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FFF99"/>
      <rgbColor rgb="FFD9E1F2"/>
      <rgbColor rgb="FFFF99CC"/>
      <rgbColor rgb="FFCC99FF"/>
      <rgbColor rgb="FFFCE4E4"/>
      <rgbColor rgb="FF4A7EBB"/>
      <rgbColor rgb="FF33CCCC"/>
      <rgbColor rgb="FF9BBB59"/>
      <rgbColor rgb="FFFFCC00"/>
      <rgbColor rgb="FFFF9900"/>
      <rgbColor rgb="FFFF6600"/>
      <rgbColor rgb="FF8064A2"/>
      <rgbColor rgb="FF969696"/>
      <rgbColor rgb="FF1F3864"/>
      <rgbColor rgb="FF4F81BD"/>
      <rgbColor rgb="FF003300"/>
      <rgbColor rgb="FF333300"/>
      <rgbColor rgb="FF993300"/>
      <rgbColor rgb="FFC0504D"/>
      <rgbColor rgb="FF2E5395"/>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Actual vs Budget Revenue (FY 2024-25)</a:t>
            </a:r>
          </a:p>
        </c:rich>
      </c:tx>
      <c:overlay val="0"/>
      <c:spPr>
        <a:noFill/>
        <a:ln w="0">
          <a:noFill/>
        </a:ln>
      </c:spPr>
    </c:title>
    <c:autoTitleDeleted val="0"/>
    <c:plotArea>
      <c:barChart>
        <c:barDir val="col"/>
        <c:grouping val="clustered"/>
        <c:varyColors val="0"/>
        <c:ser>
          <c:idx val="0"/>
          <c:order val="0"/>
          <c:tx>
            <c:strRef>
              <c:f>Dashboard!B17</c:f>
              <c:strCache>
                <c:ptCount val="1"/>
                <c:pt idx="0">
                  <c:v>Budget Revenue</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Dashboard!$A$18:$A$29</c:f>
              <c:strCache>
                <c:ptCount val="12"/>
                <c:pt idx="0">
                  <c:v>Apr-24</c:v>
                </c:pt>
                <c:pt idx="1">
                  <c:v>May-24</c:v>
                </c:pt>
                <c:pt idx="2">
                  <c:v>Jun-24</c:v>
                </c:pt>
                <c:pt idx="3">
                  <c:v>Jul-24</c:v>
                </c:pt>
                <c:pt idx="4">
                  <c:v>Aug-24</c:v>
                </c:pt>
                <c:pt idx="5">
                  <c:v>Sep-24</c:v>
                </c:pt>
                <c:pt idx="6">
                  <c:v>Oct-24</c:v>
                </c:pt>
                <c:pt idx="7">
                  <c:v>Nov-24</c:v>
                </c:pt>
                <c:pt idx="8">
                  <c:v>Dec-24</c:v>
                </c:pt>
                <c:pt idx="9">
                  <c:v>Jan-25</c:v>
                </c:pt>
                <c:pt idx="10">
                  <c:v>Feb-25</c:v>
                </c:pt>
                <c:pt idx="11">
                  <c:v>Mar-25</c:v>
                </c:pt>
              </c:strCache>
            </c:strRef>
          </c:cat>
          <c:val>
            <c:numRef>
              <c:f>Dashboard!$B$18:$B$29</c:f>
              <c:numCache>
                <c:formatCode>#,##0;\(#,##0\);\-</c:formatCode>
                <c:ptCount val="12"/>
                <c:pt idx="0">
                  <c:v>2861000</c:v>
                </c:pt>
                <c:pt idx="1">
                  <c:v>2978440.7</c:v>
                </c:pt>
                <c:pt idx="2">
                  <c:v>2943903.76</c:v>
                </c:pt>
                <c:pt idx="3">
                  <c:v>2742366.99</c:v>
                </c:pt>
                <c:pt idx="4">
                  <c:v>2743148.7</c:v>
                </c:pt>
                <c:pt idx="5">
                  <c:v>2843333.82</c:v>
                </c:pt>
                <c:pt idx="6">
                  <c:v>3308101.5</c:v>
                </c:pt>
                <c:pt idx="7">
                  <c:v>3456789.67</c:v>
                </c:pt>
                <c:pt idx="8">
                  <c:v>3144592.85</c:v>
                </c:pt>
                <c:pt idx="9">
                  <c:v>2770198.68</c:v>
                </c:pt>
                <c:pt idx="10">
                  <c:v>2836900.5</c:v>
                </c:pt>
                <c:pt idx="11">
                  <c:v>3056072.76</c:v>
                </c:pt>
              </c:numCache>
            </c:numRef>
          </c:val>
        </c:ser>
        <c:ser>
          <c:idx val="1"/>
          <c:order val="1"/>
          <c:tx>
            <c:strRef>
              <c:f>Dashboard!C17</c:f>
              <c:strCache>
                <c:ptCount val="1"/>
                <c:pt idx="0">
                  <c:v>Actual Revenue</c:v>
                </c:pt>
              </c:strCache>
            </c:strRef>
          </c:tx>
          <c:spPr>
            <a:solidFill>
              <a:srgbClr val="c0504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Dashboard!$A$18:$A$29</c:f>
              <c:strCache>
                <c:ptCount val="12"/>
                <c:pt idx="0">
                  <c:v>Apr-24</c:v>
                </c:pt>
                <c:pt idx="1">
                  <c:v>May-24</c:v>
                </c:pt>
                <c:pt idx="2">
                  <c:v>Jun-24</c:v>
                </c:pt>
                <c:pt idx="3">
                  <c:v>Jul-24</c:v>
                </c:pt>
                <c:pt idx="4">
                  <c:v>Aug-24</c:v>
                </c:pt>
                <c:pt idx="5">
                  <c:v>Sep-24</c:v>
                </c:pt>
                <c:pt idx="6">
                  <c:v>Oct-24</c:v>
                </c:pt>
                <c:pt idx="7">
                  <c:v>Nov-24</c:v>
                </c:pt>
                <c:pt idx="8">
                  <c:v>Dec-24</c:v>
                </c:pt>
                <c:pt idx="9">
                  <c:v>Jan-25</c:v>
                </c:pt>
                <c:pt idx="10">
                  <c:v>Feb-25</c:v>
                </c:pt>
                <c:pt idx="11">
                  <c:v>Mar-25</c:v>
                </c:pt>
              </c:strCache>
            </c:strRef>
          </c:cat>
          <c:val>
            <c:numRef>
              <c:f>Dashboard!$C$18:$C$29</c:f>
              <c:numCache>
                <c:formatCode>#,##0;\(#,##0\);\-</c:formatCode>
                <c:ptCount val="12"/>
                <c:pt idx="0">
                  <c:v>2874061.94</c:v>
                </c:pt>
                <c:pt idx="1">
                  <c:v>2956844.19</c:v>
                </c:pt>
                <c:pt idx="2">
                  <c:v>2920238.24</c:v>
                </c:pt>
                <c:pt idx="3">
                  <c:v>2661268.87</c:v>
                </c:pt>
                <c:pt idx="4">
                  <c:v>2611563.16</c:v>
                </c:pt>
                <c:pt idx="5">
                  <c:v>2826123.68</c:v>
                </c:pt>
                <c:pt idx="6">
                  <c:v>3579618.24</c:v>
                </c:pt>
                <c:pt idx="7">
                  <c:v>3669694.39</c:v>
                </c:pt>
                <c:pt idx="8">
                  <c:v>3131490.95</c:v>
                </c:pt>
                <c:pt idx="9">
                  <c:v>2469819.37</c:v>
                </c:pt>
                <c:pt idx="10">
                  <c:v>2830605.62</c:v>
                </c:pt>
                <c:pt idx="11">
                  <c:v>3028929.74</c:v>
                </c:pt>
              </c:numCache>
            </c:numRef>
          </c:val>
        </c:ser>
        <c:gapWidth val="150"/>
        <c:overlap val="0"/>
        <c:axId val="73025936"/>
        <c:axId val="18370231"/>
      </c:barChart>
      <c:catAx>
        <c:axId val="73025936"/>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370231"/>
        <c:crosses val="autoZero"/>
        <c:auto val="1"/>
        <c:lblAlgn val="ctr"/>
        <c:lblOffset val="100"/>
        <c:noMultiLvlLbl val="0"/>
      </c:catAx>
      <c:valAx>
        <c:axId val="1837023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Revenue (Rs.)</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02593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Actual vs Budget Expenses (FY 2024-25)</a:t>
            </a:r>
          </a:p>
        </c:rich>
      </c:tx>
      <c:overlay val="0"/>
      <c:spPr>
        <a:noFill/>
        <a:ln w="0">
          <a:noFill/>
        </a:ln>
      </c:spPr>
    </c:title>
    <c:autoTitleDeleted val="0"/>
    <c:plotArea>
      <c:barChart>
        <c:barDir val="col"/>
        <c:grouping val="clustered"/>
        <c:varyColors val="0"/>
        <c:ser>
          <c:idx val="0"/>
          <c:order val="0"/>
          <c:tx>
            <c:strRef>
              <c:f>Dashboard!D17</c:f>
              <c:strCache>
                <c:ptCount val="1"/>
                <c:pt idx="0">
                  <c:v>Budget Expense</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Dashboard!$A$18:$A$29</c:f>
              <c:strCache>
                <c:ptCount val="12"/>
                <c:pt idx="0">
                  <c:v>Apr-24</c:v>
                </c:pt>
                <c:pt idx="1">
                  <c:v>May-24</c:v>
                </c:pt>
                <c:pt idx="2">
                  <c:v>Jun-24</c:v>
                </c:pt>
                <c:pt idx="3">
                  <c:v>Jul-24</c:v>
                </c:pt>
                <c:pt idx="4">
                  <c:v>Aug-24</c:v>
                </c:pt>
                <c:pt idx="5">
                  <c:v>Sep-24</c:v>
                </c:pt>
                <c:pt idx="6">
                  <c:v>Oct-24</c:v>
                </c:pt>
                <c:pt idx="7">
                  <c:v>Nov-24</c:v>
                </c:pt>
                <c:pt idx="8">
                  <c:v>Dec-24</c:v>
                </c:pt>
                <c:pt idx="9">
                  <c:v>Jan-25</c:v>
                </c:pt>
                <c:pt idx="10">
                  <c:v>Feb-25</c:v>
                </c:pt>
                <c:pt idx="11">
                  <c:v>Mar-25</c:v>
                </c:pt>
              </c:strCache>
            </c:strRef>
          </c:cat>
          <c:val>
            <c:numRef>
              <c:f>Dashboard!$D$18:$D$29</c:f>
              <c:numCache>
                <c:formatCode>#,##0;\(#,##0\);\-</c:formatCode>
                <c:ptCount val="12"/>
                <c:pt idx="0">
                  <c:v>2371400</c:v>
                </c:pt>
                <c:pt idx="1">
                  <c:v>2446171.8996</c:v>
                </c:pt>
                <c:pt idx="2">
                  <c:v>2429053.5582</c:v>
                </c:pt>
                <c:pt idx="3">
                  <c:v>2312882.558</c:v>
                </c:pt>
                <c:pt idx="4">
                  <c:v>2317691.3656</c:v>
                </c:pt>
                <c:pt idx="5">
                  <c:v>2383317.2448</c:v>
                </c:pt>
                <c:pt idx="6">
                  <c:v>2705340.548</c:v>
                </c:pt>
                <c:pt idx="7">
                  <c:v>2804484.3362</c:v>
                </c:pt>
                <c:pt idx="8">
                  <c:v>2581234.7936</c:v>
                </c:pt>
                <c:pt idx="9">
                  <c:v>2354496.4276</c:v>
                </c:pt>
                <c:pt idx="10">
                  <c:v>2397655.272</c:v>
                </c:pt>
                <c:pt idx="11">
                  <c:v>2534445.0612</c:v>
                </c:pt>
              </c:numCache>
            </c:numRef>
          </c:val>
        </c:ser>
        <c:ser>
          <c:idx val="1"/>
          <c:order val="1"/>
          <c:tx>
            <c:strRef>
              <c:f>Dashboard!E17</c:f>
              <c:strCache>
                <c:ptCount val="1"/>
                <c:pt idx="0">
                  <c:v>Actual Expense</c:v>
                </c:pt>
              </c:strCache>
            </c:strRef>
          </c:tx>
          <c:spPr>
            <a:solidFill>
              <a:srgbClr val="c0504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Dashboard!$A$18:$A$29</c:f>
              <c:strCache>
                <c:ptCount val="12"/>
                <c:pt idx="0">
                  <c:v>Apr-24</c:v>
                </c:pt>
                <c:pt idx="1">
                  <c:v>May-24</c:v>
                </c:pt>
                <c:pt idx="2">
                  <c:v>Jun-24</c:v>
                </c:pt>
                <c:pt idx="3">
                  <c:v>Jul-24</c:v>
                </c:pt>
                <c:pt idx="4">
                  <c:v>Aug-24</c:v>
                </c:pt>
                <c:pt idx="5">
                  <c:v>Sep-24</c:v>
                </c:pt>
                <c:pt idx="6">
                  <c:v>Oct-24</c:v>
                </c:pt>
                <c:pt idx="7">
                  <c:v>Nov-24</c:v>
                </c:pt>
                <c:pt idx="8">
                  <c:v>Dec-24</c:v>
                </c:pt>
                <c:pt idx="9">
                  <c:v>Jan-25</c:v>
                </c:pt>
                <c:pt idx="10">
                  <c:v>Feb-25</c:v>
                </c:pt>
                <c:pt idx="11">
                  <c:v>Mar-25</c:v>
                </c:pt>
              </c:strCache>
            </c:strRef>
          </c:cat>
          <c:val>
            <c:numRef>
              <c:f>Dashboard!$E$18:$E$29</c:f>
              <c:numCache>
                <c:formatCode>#,##0;\(#,##0\);\-</c:formatCode>
                <c:ptCount val="12"/>
                <c:pt idx="0">
                  <c:v>2371148.492708</c:v>
                </c:pt>
                <c:pt idx="1">
                  <c:v>2437711.095905</c:v>
                </c:pt>
                <c:pt idx="2">
                  <c:v>2447488.962186</c:v>
                </c:pt>
                <c:pt idx="3">
                  <c:v>2300692.024766</c:v>
                </c:pt>
                <c:pt idx="4">
                  <c:v>2282909.76752</c:v>
                </c:pt>
                <c:pt idx="5">
                  <c:v>2364068.271716</c:v>
                </c:pt>
                <c:pt idx="6">
                  <c:v>2869470.359468</c:v>
                </c:pt>
                <c:pt idx="7">
                  <c:v>2932696.963887</c:v>
                </c:pt>
                <c:pt idx="8">
                  <c:v>2563749.979818</c:v>
                </c:pt>
                <c:pt idx="9">
                  <c:v>2206679.637388</c:v>
                </c:pt>
                <c:pt idx="10">
                  <c:v>2390328.811954</c:v>
                </c:pt>
                <c:pt idx="11">
                  <c:v>2524316.984724</c:v>
                </c:pt>
              </c:numCache>
            </c:numRef>
          </c:val>
        </c:ser>
        <c:gapWidth val="150"/>
        <c:overlap val="0"/>
        <c:axId val="16104995"/>
        <c:axId val="38336316"/>
      </c:barChart>
      <c:catAx>
        <c:axId val="16104995"/>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336316"/>
        <c:crosses val="autoZero"/>
        <c:auto val="1"/>
        <c:lblAlgn val="ctr"/>
        <c:lblOffset val="100"/>
        <c:noMultiLvlLbl val="0"/>
      </c:catAx>
      <c:valAx>
        <c:axId val="3833631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Expense (Rs.)</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10499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Variance Trend (Rs.)</a:t>
            </a:r>
          </a:p>
        </c:rich>
      </c:tx>
      <c:overlay val="0"/>
      <c:spPr>
        <a:noFill/>
        <a:ln w="0">
          <a:noFill/>
        </a:ln>
      </c:spPr>
    </c:title>
    <c:autoTitleDeleted val="0"/>
    <c:plotArea>
      <c:lineChart>
        <c:grouping val="standard"/>
        <c:varyColors val="0"/>
        <c:ser>
          <c:idx val="0"/>
          <c:order val="0"/>
          <c:tx>
            <c:strRef>
              <c:f>Dashboard!H17</c:f>
              <c:strCache>
                <c:ptCount val="1"/>
                <c:pt idx="0">
                  <c:v>Revenue Variance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Dashboard!$A$18:$A$29</c:f>
              <c:strCache>
                <c:ptCount val="12"/>
                <c:pt idx="0">
                  <c:v>Apr-24</c:v>
                </c:pt>
                <c:pt idx="1">
                  <c:v>May-24</c:v>
                </c:pt>
                <c:pt idx="2">
                  <c:v>Jun-24</c:v>
                </c:pt>
                <c:pt idx="3">
                  <c:v>Jul-24</c:v>
                </c:pt>
                <c:pt idx="4">
                  <c:v>Aug-24</c:v>
                </c:pt>
                <c:pt idx="5">
                  <c:v>Sep-24</c:v>
                </c:pt>
                <c:pt idx="6">
                  <c:v>Oct-24</c:v>
                </c:pt>
                <c:pt idx="7">
                  <c:v>Nov-24</c:v>
                </c:pt>
                <c:pt idx="8">
                  <c:v>Dec-24</c:v>
                </c:pt>
                <c:pt idx="9">
                  <c:v>Jan-25</c:v>
                </c:pt>
                <c:pt idx="10">
                  <c:v>Feb-25</c:v>
                </c:pt>
                <c:pt idx="11">
                  <c:v>Mar-25</c:v>
                </c:pt>
              </c:strCache>
            </c:strRef>
          </c:cat>
          <c:val>
            <c:numRef>
              <c:f>Dashboard!$H$18:$H$29</c:f>
              <c:numCache>
                <c:formatCode>#,##0;\(#,##0\);\-</c:formatCode>
                <c:ptCount val="12"/>
                <c:pt idx="0">
                  <c:v>13061.9399999999</c:v>
                </c:pt>
                <c:pt idx="1">
                  <c:v>-21596.5100000002</c:v>
                </c:pt>
                <c:pt idx="2">
                  <c:v>-23665.5199999996</c:v>
                </c:pt>
                <c:pt idx="3">
                  <c:v>-81098.1199999997</c:v>
                </c:pt>
                <c:pt idx="4">
                  <c:v>-131585.54</c:v>
                </c:pt>
                <c:pt idx="5">
                  <c:v>-17210.1399999997</c:v>
                </c:pt>
                <c:pt idx="6">
                  <c:v>271516.74</c:v>
                </c:pt>
                <c:pt idx="7">
                  <c:v>212904.72</c:v>
                </c:pt>
                <c:pt idx="8">
                  <c:v>-13101.8999999999</c:v>
                </c:pt>
                <c:pt idx="9">
                  <c:v>-300379.31</c:v>
                </c:pt>
                <c:pt idx="10">
                  <c:v>-6294.87999999989</c:v>
                </c:pt>
                <c:pt idx="11">
                  <c:v>-27143.0200000005</c:v>
                </c:pt>
              </c:numCache>
            </c:numRef>
          </c:val>
          <c:smooth val="1"/>
        </c:ser>
        <c:hiLowLines>
          <c:spPr>
            <a:ln w="0">
              <a:noFill/>
            </a:ln>
          </c:spPr>
        </c:hiLowLines>
        <c:marker val="0"/>
        <c:axId val="67973834"/>
        <c:axId val="97957014"/>
      </c:lineChart>
      <c:catAx>
        <c:axId val="6797383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957014"/>
        <c:crosses val="autoZero"/>
        <c:auto val="1"/>
        <c:lblAlgn val="ctr"/>
        <c:lblOffset val="100"/>
        <c:noMultiLvlLbl val="0"/>
      </c:catAx>
      <c:valAx>
        <c:axId val="9795701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Variance (Rs.)</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97383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Profit Trend: Budget vs Actual</a:t>
            </a:r>
          </a:p>
        </c:rich>
      </c:tx>
      <c:overlay val="0"/>
      <c:spPr>
        <a:noFill/>
        <a:ln w="0">
          <a:noFill/>
        </a:ln>
      </c:spPr>
    </c:title>
    <c:autoTitleDeleted val="0"/>
    <c:plotArea>
      <c:lineChart>
        <c:grouping val="standard"/>
        <c:varyColors val="0"/>
        <c:ser>
          <c:idx val="0"/>
          <c:order val="0"/>
          <c:tx>
            <c:strRef>
              <c:f>Dashboard!F17</c:f>
              <c:strCache>
                <c:ptCount val="1"/>
                <c:pt idx="0">
                  <c:v>Budget Profit</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Dashboard!$A$18:$A$29</c:f>
              <c:strCache>
                <c:ptCount val="12"/>
                <c:pt idx="0">
                  <c:v>Apr-24</c:v>
                </c:pt>
                <c:pt idx="1">
                  <c:v>May-24</c:v>
                </c:pt>
                <c:pt idx="2">
                  <c:v>Jun-24</c:v>
                </c:pt>
                <c:pt idx="3">
                  <c:v>Jul-24</c:v>
                </c:pt>
                <c:pt idx="4">
                  <c:v>Aug-24</c:v>
                </c:pt>
                <c:pt idx="5">
                  <c:v>Sep-24</c:v>
                </c:pt>
                <c:pt idx="6">
                  <c:v>Oct-24</c:v>
                </c:pt>
                <c:pt idx="7">
                  <c:v>Nov-24</c:v>
                </c:pt>
                <c:pt idx="8">
                  <c:v>Dec-24</c:v>
                </c:pt>
                <c:pt idx="9">
                  <c:v>Jan-25</c:v>
                </c:pt>
                <c:pt idx="10">
                  <c:v>Feb-25</c:v>
                </c:pt>
                <c:pt idx="11">
                  <c:v>Mar-25</c:v>
                </c:pt>
              </c:strCache>
            </c:strRef>
          </c:cat>
          <c:val>
            <c:numRef>
              <c:f>Dashboard!$F$18:$F$29</c:f>
              <c:numCache>
                <c:formatCode>#,##0;\(#,##0\);\-</c:formatCode>
                <c:ptCount val="12"/>
                <c:pt idx="0">
                  <c:v>489600</c:v>
                </c:pt>
                <c:pt idx="1">
                  <c:v>532268.8004</c:v>
                </c:pt>
                <c:pt idx="2">
                  <c:v>514850.2018</c:v>
                </c:pt>
                <c:pt idx="3">
                  <c:v>429484.432</c:v>
                </c:pt>
                <c:pt idx="4">
                  <c:v>425457.3344</c:v>
                </c:pt>
                <c:pt idx="5">
                  <c:v>460016.5752</c:v>
                </c:pt>
                <c:pt idx="6">
                  <c:v>602760.952</c:v>
                </c:pt>
                <c:pt idx="7">
                  <c:v>652305.3338</c:v>
                </c:pt>
                <c:pt idx="8">
                  <c:v>563358.0564</c:v>
                </c:pt>
                <c:pt idx="9">
                  <c:v>415702.2524</c:v>
                </c:pt>
                <c:pt idx="10">
                  <c:v>439245.228</c:v>
                </c:pt>
                <c:pt idx="11">
                  <c:v>521627.6988</c:v>
                </c:pt>
              </c:numCache>
            </c:numRef>
          </c:val>
          <c:smooth val="1"/>
        </c:ser>
        <c:ser>
          <c:idx val="1"/>
          <c:order val="1"/>
          <c:tx>
            <c:strRef>
              <c:f>Dashboard!G17</c:f>
              <c:strCache>
                <c:ptCount val="1"/>
                <c:pt idx="0">
                  <c:v>Actual Profit</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Dashboard!$A$18:$A$29</c:f>
              <c:strCache>
                <c:ptCount val="12"/>
                <c:pt idx="0">
                  <c:v>Apr-24</c:v>
                </c:pt>
                <c:pt idx="1">
                  <c:v>May-24</c:v>
                </c:pt>
                <c:pt idx="2">
                  <c:v>Jun-24</c:v>
                </c:pt>
                <c:pt idx="3">
                  <c:v>Jul-24</c:v>
                </c:pt>
                <c:pt idx="4">
                  <c:v>Aug-24</c:v>
                </c:pt>
                <c:pt idx="5">
                  <c:v>Sep-24</c:v>
                </c:pt>
                <c:pt idx="6">
                  <c:v>Oct-24</c:v>
                </c:pt>
                <c:pt idx="7">
                  <c:v>Nov-24</c:v>
                </c:pt>
                <c:pt idx="8">
                  <c:v>Dec-24</c:v>
                </c:pt>
                <c:pt idx="9">
                  <c:v>Jan-25</c:v>
                </c:pt>
                <c:pt idx="10">
                  <c:v>Feb-25</c:v>
                </c:pt>
                <c:pt idx="11">
                  <c:v>Mar-25</c:v>
                </c:pt>
              </c:strCache>
            </c:strRef>
          </c:cat>
          <c:val>
            <c:numRef>
              <c:f>Dashboard!$G$18:$G$29</c:f>
              <c:numCache>
                <c:formatCode>#,##0;\(#,##0\);\-</c:formatCode>
                <c:ptCount val="12"/>
                <c:pt idx="0">
                  <c:v>502913.447292</c:v>
                </c:pt>
                <c:pt idx="1">
                  <c:v>519133.094095</c:v>
                </c:pt>
                <c:pt idx="2">
                  <c:v>472749.277814</c:v>
                </c:pt>
                <c:pt idx="3">
                  <c:v>360576.845234</c:v>
                </c:pt>
                <c:pt idx="4">
                  <c:v>328653.39248</c:v>
                </c:pt>
                <c:pt idx="5">
                  <c:v>462055.408284</c:v>
                </c:pt>
                <c:pt idx="6">
                  <c:v>710147.880532</c:v>
                </c:pt>
                <c:pt idx="7">
                  <c:v>736997.426113</c:v>
                </c:pt>
                <c:pt idx="8">
                  <c:v>567740.970182</c:v>
                </c:pt>
                <c:pt idx="9">
                  <c:v>263139.732612</c:v>
                </c:pt>
                <c:pt idx="10">
                  <c:v>440276.808046</c:v>
                </c:pt>
                <c:pt idx="11">
                  <c:v>504612.755276</c:v>
                </c:pt>
              </c:numCache>
            </c:numRef>
          </c:val>
          <c:smooth val="1"/>
        </c:ser>
        <c:hiLowLines>
          <c:spPr>
            <a:ln w="0">
              <a:noFill/>
            </a:ln>
          </c:spPr>
        </c:hiLowLines>
        <c:marker val="0"/>
        <c:axId val="7916201"/>
        <c:axId val="61581380"/>
      </c:lineChart>
      <c:catAx>
        <c:axId val="791620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581380"/>
        <c:crosses val="autoZero"/>
        <c:auto val="1"/>
        <c:lblAlgn val="ctr"/>
        <c:lblOffset val="100"/>
        <c:noMultiLvlLbl val="0"/>
      </c:catAx>
      <c:valAx>
        <c:axId val="6158138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Net Profit (Rs.)</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1620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Actual vs Forecast Revenue Trend (18 months)</a:t>
            </a:r>
          </a:p>
        </c:rich>
      </c:tx>
      <c:overlay val="0"/>
      <c:spPr>
        <a:noFill/>
        <a:ln w="0">
          <a:noFill/>
        </a:ln>
      </c:spPr>
    </c:title>
    <c:autoTitleDeleted val="0"/>
    <c:plotArea>
      <c:lineChart>
        <c:grouping val="standard"/>
        <c:varyColors val="0"/>
        <c:ser>
          <c:idx val="0"/>
          <c:order val="0"/>
          <c:tx>
            <c:strRef>
              <c:f>Dashboard!B32</c:f>
              <c:strCache>
                <c:ptCount val="1"/>
                <c:pt idx="0">
                  <c:v>Revenue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Dashboard!$A$33:$A$50</c:f>
              <c:strCache>
                <c:ptCount val="18"/>
                <c:pt idx="0">
                  <c:v>Apr-24</c:v>
                </c:pt>
                <c:pt idx="1">
                  <c:v>May-24</c:v>
                </c:pt>
                <c:pt idx="2">
                  <c:v>Jun-24</c:v>
                </c:pt>
                <c:pt idx="3">
                  <c:v>Jul-24</c:v>
                </c:pt>
                <c:pt idx="4">
                  <c:v>Aug-24</c:v>
                </c:pt>
                <c:pt idx="5">
                  <c:v>Sep-24</c:v>
                </c:pt>
                <c:pt idx="6">
                  <c:v>Oct-24</c:v>
                </c:pt>
                <c:pt idx="7">
                  <c:v>Nov-24</c:v>
                </c:pt>
                <c:pt idx="8">
                  <c:v>Dec-24</c:v>
                </c:pt>
                <c:pt idx="9">
                  <c:v>Jan-25</c:v>
                </c:pt>
                <c:pt idx="10">
                  <c:v>Feb-25</c:v>
                </c:pt>
                <c:pt idx="11">
                  <c:v>Mar-25</c:v>
                </c:pt>
                <c:pt idx="12">
                  <c:v>Apr-25</c:v>
                </c:pt>
                <c:pt idx="13">
                  <c:v>May-25</c:v>
                </c:pt>
                <c:pt idx="14">
                  <c:v>Jun-25</c:v>
                </c:pt>
                <c:pt idx="15">
                  <c:v>Jul-25</c:v>
                </c:pt>
                <c:pt idx="16">
                  <c:v>Aug-25</c:v>
                </c:pt>
                <c:pt idx="17">
                  <c:v>Sep-25</c:v>
                </c:pt>
              </c:strCache>
            </c:strRef>
          </c:cat>
          <c:val>
            <c:numRef>
              <c:f>Dashboard!$B$33:$B$50</c:f>
              <c:numCache>
                <c:formatCode>#,##0;\(#,##0\);\-</c:formatCode>
                <c:ptCount val="18"/>
                <c:pt idx="0">
                  <c:v>2874061.94</c:v>
                </c:pt>
                <c:pt idx="1">
                  <c:v>2956844.19</c:v>
                </c:pt>
                <c:pt idx="2">
                  <c:v>2920238.24</c:v>
                </c:pt>
                <c:pt idx="3">
                  <c:v>2661268.87</c:v>
                </c:pt>
                <c:pt idx="4">
                  <c:v>2611563.16</c:v>
                </c:pt>
                <c:pt idx="5">
                  <c:v>2826123.68</c:v>
                </c:pt>
                <c:pt idx="6">
                  <c:v>3579618.24</c:v>
                </c:pt>
                <c:pt idx="7">
                  <c:v>3669694.39</c:v>
                </c:pt>
                <c:pt idx="8">
                  <c:v>3131490.95</c:v>
                </c:pt>
                <c:pt idx="9">
                  <c:v>2469819.37</c:v>
                </c:pt>
                <c:pt idx="10">
                  <c:v>2830605.62</c:v>
                </c:pt>
                <c:pt idx="11">
                  <c:v>3028929.74</c:v>
                </c:pt>
                <c:pt idx="12">
                  <c:v>3072815.82</c:v>
                </c:pt>
                <c:pt idx="13">
                  <c:v>3117363.96</c:v>
                </c:pt>
                <c:pt idx="14">
                  <c:v>3162584.59</c:v>
                </c:pt>
                <c:pt idx="15">
                  <c:v>3208488.32</c:v>
                </c:pt>
                <c:pt idx="16">
                  <c:v>3255085.86</c:v>
                </c:pt>
                <c:pt idx="17">
                  <c:v>3302388.16</c:v>
                </c:pt>
              </c:numCache>
            </c:numRef>
          </c:val>
          <c:smooth val="1"/>
        </c:ser>
        <c:hiLowLines>
          <c:spPr>
            <a:ln w="0">
              <a:noFill/>
            </a:ln>
          </c:spPr>
        </c:hiLowLines>
        <c:marker val="0"/>
        <c:axId val="7980259"/>
        <c:axId val="63253342"/>
      </c:lineChart>
      <c:catAx>
        <c:axId val="798025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253342"/>
        <c:crosses val="autoZero"/>
        <c:auto val="1"/>
        <c:lblAlgn val="ctr"/>
        <c:lblOffset val="100"/>
        <c:noMultiLvlLbl val="0"/>
      </c:catAx>
      <c:valAx>
        <c:axId val="6325334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Revenue (Rs.)</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8025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Expense Category Variance (Rs.) - FY 2024-25</a:t>
            </a:r>
          </a:p>
        </c:rich>
      </c:tx>
      <c:overlay val="0"/>
      <c:spPr>
        <a:noFill/>
        <a:ln w="0">
          <a:noFill/>
        </a:ln>
      </c:spPr>
    </c:title>
    <c:autoTitleDeleted val="0"/>
    <c:plotArea>
      <c:barChart>
        <c:barDir val="bar"/>
        <c:grouping val="clustered"/>
        <c:varyColors val="0"/>
        <c:ser>
          <c:idx val="0"/>
          <c:order val="0"/>
          <c:tx>
            <c:strRef>
              <c:f>Dashboard!B53</c:f>
              <c:strCache>
                <c:ptCount val="1"/>
                <c:pt idx="0">
                  <c:v>Variance</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Dashboard!$A$54:$A$62</c:f>
              <c:strCache>
                <c:ptCount val="9"/>
                <c:pt idx="0">
                  <c:v>Salaries</c:v>
                </c:pt>
                <c:pt idx="1">
                  <c:v>Rent</c:v>
                </c:pt>
                <c:pt idx="2">
                  <c:v>Utilities</c:v>
                </c:pt>
                <c:pt idx="3">
                  <c:v>Marketing</c:v>
                </c:pt>
                <c:pt idx="4">
                  <c:v>Technology</c:v>
                </c:pt>
                <c:pt idx="5">
                  <c:v>Transportation</c:v>
                </c:pt>
                <c:pt idx="6">
                  <c:v>Office Expenses</c:v>
                </c:pt>
                <c:pt idx="7">
                  <c:v>Maintenance</c:v>
                </c:pt>
                <c:pt idx="8">
                  <c:v>Other Operating Expenses</c:v>
                </c:pt>
              </c:strCache>
            </c:strRef>
          </c:cat>
          <c:val>
            <c:numRef>
              <c:f>Dashboard!$B$54:$B$62</c:f>
              <c:numCache>
                <c:formatCode>#,##0;\(#,##0\);\-</c:formatCode>
                <c:ptCount val="9"/>
                <c:pt idx="0">
                  <c:v>16626</c:v>
                </c:pt>
                <c:pt idx="1">
                  <c:v>37</c:v>
                </c:pt>
                <c:pt idx="2">
                  <c:v>7558</c:v>
                </c:pt>
                <c:pt idx="3">
                  <c:v>11305</c:v>
                </c:pt>
                <c:pt idx="4">
                  <c:v>3417</c:v>
                </c:pt>
                <c:pt idx="5">
                  <c:v>3631</c:v>
                </c:pt>
                <c:pt idx="6">
                  <c:v>4427</c:v>
                </c:pt>
                <c:pt idx="7">
                  <c:v>33</c:v>
                </c:pt>
                <c:pt idx="8">
                  <c:v>480</c:v>
                </c:pt>
              </c:numCache>
            </c:numRef>
          </c:val>
        </c:ser>
        <c:gapWidth val="150"/>
        <c:overlap val="0"/>
        <c:axId val="746056"/>
        <c:axId val="9243621"/>
      </c:barChart>
      <c:catAx>
        <c:axId val="746056"/>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43621"/>
        <c:crosses val="autoZero"/>
        <c:auto val="1"/>
        <c:lblAlgn val="ctr"/>
        <c:lblOffset val="100"/>
        <c:noMultiLvlLbl val="0"/>
      </c:catAx>
      <c:valAx>
        <c:axId val="9243621"/>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Variance (Rs.)</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605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Actual Revenue by Category (FY 2024-25)</a:t>
            </a:r>
          </a:p>
        </c:rich>
      </c:tx>
      <c:overlay val="0"/>
      <c:spPr>
        <a:noFill/>
        <a:ln w="0">
          <a:noFill/>
        </a:ln>
      </c:spPr>
    </c:title>
    <c:autoTitleDeleted val="0"/>
    <c:plotArea>
      <c:pieChart>
        <c:varyColors val="1"/>
        <c:ser>
          <c:idx val="0"/>
          <c:order val="0"/>
          <c:tx>
            <c:strRef>
              <c:f>Dashboard!B65</c:f>
              <c:strCache>
                <c:ptCount val="1"/>
                <c:pt idx="0">
                  <c:v>Actual Revenue</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numFmt formatCode="#,##0;\(#,##0\);\-" sourceLinked="1"/>
            <c:dLbl>
              <c:idx val="0"/>
              <c:numFmt formatCode="#,##0;\(#,##0\);\-"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numFmt formatCode="#,##0;\(#,##0\);\-"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numFmt formatCode="#,##0;\(#,##0\);\-"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numFmt formatCode="#,##0;\(#,##0\);\-"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Dashboard!$A$66:$A$69</c:f>
              <c:strCache>
                <c:ptCount val="4"/>
                <c:pt idx="0">
                  <c:v>Packaged Snacks</c:v>
                </c:pt>
                <c:pt idx="1">
                  <c:v>Beverages</c:v>
                </c:pt>
                <c:pt idx="2">
                  <c:v>Dairy Products</c:v>
                </c:pt>
                <c:pt idx="3">
                  <c:v>Bakery Items</c:v>
                </c:pt>
              </c:strCache>
            </c:strRef>
          </c:cat>
          <c:val>
            <c:numRef>
              <c:f>Dashboard!$B$66:$B$69</c:f>
              <c:numCache>
                <c:formatCode>#,##0;\(#,##0\);\-</c:formatCode>
                <c:ptCount val="4"/>
                <c:pt idx="0">
                  <c:v>10554798.17</c:v>
                </c:pt>
                <c:pt idx="1">
                  <c:v>8623347.77</c:v>
                </c:pt>
                <c:pt idx="2">
                  <c:v>10596560.07</c:v>
                </c:pt>
                <c:pt idx="3">
                  <c:v>5785552.38</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Profit Margin Trend: Budget vs Actual</a:t>
            </a:r>
          </a:p>
        </c:rich>
      </c:tx>
      <c:overlay val="0"/>
      <c:spPr>
        <a:noFill/>
        <a:ln w="0">
          <a:noFill/>
        </a:ln>
      </c:spPr>
    </c:title>
    <c:autoTitleDeleted val="0"/>
    <c:plotArea>
      <c:lineChart>
        <c:grouping val="standard"/>
        <c:varyColors val="0"/>
        <c:ser>
          <c:idx val="0"/>
          <c:order val="0"/>
          <c:tx>
            <c:strRef>
              <c:f>Dashboard!I17</c:f>
              <c:strCache>
                <c:ptCount val="1"/>
                <c:pt idx="0">
                  <c:v>Actual Net Margin %</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Dashboard!$A$18:$A$29</c:f>
              <c:strCache>
                <c:ptCount val="12"/>
                <c:pt idx="0">
                  <c:v>Apr-24</c:v>
                </c:pt>
                <c:pt idx="1">
                  <c:v>May-24</c:v>
                </c:pt>
                <c:pt idx="2">
                  <c:v>Jun-24</c:v>
                </c:pt>
                <c:pt idx="3">
                  <c:v>Jul-24</c:v>
                </c:pt>
                <c:pt idx="4">
                  <c:v>Aug-24</c:v>
                </c:pt>
                <c:pt idx="5">
                  <c:v>Sep-24</c:v>
                </c:pt>
                <c:pt idx="6">
                  <c:v>Oct-24</c:v>
                </c:pt>
                <c:pt idx="7">
                  <c:v>Nov-24</c:v>
                </c:pt>
                <c:pt idx="8">
                  <c:v>Dec-24</c:v>
                </c:pt>
                <c:pt idx="9">
                  <c:v>Jan-25</c:v>
                </c:pt>
                <c:pt idx="10">
                  <c:v>Feb-25</c:v>
                </c:pt>
                <c:pt idx="11">
                  <c:v>Mar-25</c:v>
                </c:pt>
              </c:strCache>
            </c:strRef>
          </c:cat>
          <c:val>
            <c:numRef>
              <c:f>Dashboard!$I$18:$I$29</c:f>
              <c:numCache>
                <c:formatCode>0.0%;\(0.0%\);\-</c:formatCode>
                <c:ptCount val="12"/>
                <c:pt idx="0">
                  <c:v>0.174983510373475</c:v>
                </c:pt>
                <c:pt idx="1">
                  <c:v>0.17556998635596</c:v>
                </c:pt>
                <c:pt idx="2">
                  <c:v>0.161887229383723</c:v>
                </c:pt>
                <c:pt idx="3">
                  <c:v>0.135490573424849</c:v>
                </c:pt>
                <c:pt idx="4">
                  <c:v>0.125845469684141</c:v>
                </c:pt>
                <c:pt idx="5">
                  <c:v>0.163494404563356</c:v>
                </c:pt>
                <c:pt idx="6">
                  <c:v>0.19838648507166</c:v>
                </c:pt>
                <c:pt idx="7">
                  <c:v>0.200833461260789</c:v>
                </c:pt>
                <c:pt idx="8">
                  <c:v>0.181300530401341</c:v>
                </c:pt>
                <c:pt idx="9">
                  <c:v>0.106542096077253</c:v>
                </c:pt>
                <c:pt idx="10">
                  <c:v>0.15554155793911</c:v>
                </c:pt>
                <c:pt idx="11">
                  <c:v>0.166597708957092</c:v>
                </c:pt>
              </c:numCache>
            </c:numRef>
          </c:val>
          <c:smooth val="1"/>
        </c:ser>
        <c:ser>
          <c:idx val="1"/>
          <c:order val="1"/>
          <c:tx>
            <c:strRef>
              <c:f>Dashboard!J17</c:f>
              <c:strCache>
                <c:ptCount val="1"/>
                <c:pt idx="0">
                  <c:v>Budget Net Margin %</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Dashboard!$A$18:$A$29</c:f>
              <c:strCache>
                <c:ptCount val="12"/>
                <c:pt idx="0">
                  <c:v>Apr-24</c:v>
                </c:pt>
                <c:pt idx="1">
                  <c:v>May-24</c:v>
                </c:pt>
                <c:pt idx="2">
                  <c:v>Jun-24</c:v>
                </c:pt>
                <c:pt idx="3">
                  <c:v>Jul-24</c:v>
                </c:pt>
                <c:pt idx="4">
                  <c:v>Aug-24</c:v>
                </c:pt>
                <c:pt idx="5">
                  <c:v>Sep-24</c:v>
                </c:pt>
                <c:pt idx="6">
                  <c:v>Oct-24</c:v>
                </c:pt>
                <c:pt idx="7">
                  <c:v>Nov-24</c:v>
                </c:pt>
                <c:pt idx="8">
                  <c:v>Dec-24</c:v>
                </c:pt>
                <c:pt idx="9">
                  <c:v>Jan-25</c:v>
                </c:pt>
                <c:pt idx="10">
                  <c:v>Feb-25</c:v>
                </c:pt>
                <c:pt idx="11">
                  <c:v>Mar-25</c:v>
                </c:pt>
              </c:strCache>
            </c:strRef>
          </c:cat>
          <c:val>
            <c:numRef>
              <c:f>Dashboard!$J$18:$J$29</c:f>
              <c:numCache>
                <c:formatCode>0.0%;\(0.0%\);\-</c:formatCode>
                <c:ptCount val="12"/>
                <c:pt idx="0">
                  <c:v>0.171128975882559</c:v>
                </c:pt>
                <c:pt idx="1">
                  <c:v>0.178707200851775</c:v>
                </c:pt>
                <c:pt idx="2">
                  <c:v>0.174886899767403</c:v>
                </c:pt>
                <c:pt idx="3">
                  <c:v>0.156610852437368</c:v>
                </c:pt>
                <c:pt idx="4">
                  <c:v>0.155098166716226</c:v>
                </c:pt>
                <c:pt idx="5">
                  <c:v>0.161787747876892</c:v>
                </c:pt>
                <c:pt idx="6">
                  <c:v>0.182207514491318</c:v>
                </c:pt>
                <c:pt idx="7">
                  <c:v>0.188702639174457</c:v>
                </c:pt>
                <c:pt idx="8">
                  <c:v>0.179151350674858</c:v>
                </c:pt>
                <c:pt idx="9">
                  <c:v>0.15006225199703</c:v>
                </c:pt>
                <c:pt idx="10">
                  <c:v>0.154832793042971</c:v>
                </c:pt>
                <c:pt idx="11">
                  <c:v>0.170685628178565</c:v>
                </c:pt>
              </c:numCache>
            </c:numRef>
          </c:val>
          <c:smooth val="1"/>
        </c:ser>
        <c:hiLowLines>
          <c:spPr>
            <a:ln w="0">
              <a:noFill/>
            </a:ln>
          </c:spPr>
        </c:hiLowLines>
        <c:marker val="0"/>
        <c:axId val="81187478"/>
        <c:axId val="96476739"/>
      </c:lineChart>
      <c:catAx>
        <c:axId val="81187478"/>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476739"/>
        <c:crosses val="autoZero"/>
        <c:auto val="1"/>
        <c:lblAlgn val="ctr"/>
        <c:lblOffset val="100"/>
        <c:noMultiLvlLbl val="0"/>
      </c:catAx>
      <c:valAx>
        <c:axId val="9647673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Net Margin %</a:t>
                </a:r>
              </a:p>
            </c:rich>
          </c:tx>
          <c:overlay val="0"/>
          <c:spPr>
            <a:noFill/>
            <a:ln w="0">
              <a:noFill/>
            </a:ln>
          </c:spPr>
        </c:title>
        <c:numFmt formatCode="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18747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53</xdr:row>
      <xdr:rowOff>0</xdr:rowOff>
    </xdr:from>
    <xdr:to>
      <xdr:col>5</xdr:col>
      <xdr:colOff>480240</xdr:colOff>
      <xdr:row>67</xdr:row>
      <xdr:rowOff>49680</xdr:rowOff>
    </xdr:to>
    <xdr:graphicFrame>
      <xdr:nvGraphicFramePr>
        <xdr:cNvPr id="0" name="Chart 1"/>
        <xdr:cNvGraphicFramePr/>
      </xdr:nvGraphicFramePr>
      <xdr:xfrm>
        <a:off x="0" y="11458440"/>
        <a:ext cx="6118920" cy="287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53</xdr:row>
      <xdr:rowOff>0</xdr:rowOff>
    </xdr:from>
    <xdr:to>
      <xdr:col>12</xdr:col>
      <xdr:colOff>480240</xdr:colOff>
      <xdr:row>67</xdr:row>
      <xdr:rowOff>49680</xdr:rowOff>
    </xdr:to>
    <xdr:graphicFrame>
      <xdr:nvGraphicFramePr>
        <xdr:cNvPr id="1" name="Chart 2"/>
        <xdr:cNvGraphicFramePr/>
      </xdr:nvGraphicFramePr>
      <xdr:xfrm>
        <a:off x="7894440" y="11458440"/>
        <a:ext cx="6118920" cy="287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69</xdr:row>
      <xdr:rowOff>0</xdr:rowOff>
    </xdr:from>
    <xdr:to>
      <xdr:col>5</xdr:col>
      <xdr:colOff>480240</xdr:colOff>
      <xdr:row>84</xdr:row>
      <xdr:rowOff>21600</xdr:rowOff>
    </xdr:to>
    <xdr:graphicFrame>
      <xdr:nvGraphicFramePr>
        <xdr:cNvPr id="2" name="Chart 3"/>
        <xdr:cNvGraphicFramePr/>
      </xdr:nvGraphicFramePr>
      <xdr:xfrm>
        <a:off x="0" y="14668560"/>
        <a:ext cx="6118920" cy="28789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69</xdr:row>
      <xdr:rowOff>0</xdr:rowOff>
    </xdr:from>
    <xdr:to>
      <xdr:col>12</xdr:col>
      <xdr:colOff>480240</xdr:colOff>
      <xdr:row>84</xdr:row>
      <xdr:rowOff>21600</xdr:rowOff>
    </xdr:to>
    <xdr:graphicFrame>
      <xdr:nvGraphicFramePr>
        <xdr:cNvPr id="3" name="Chart 4"/>
        <xdr:cNvGraphicFramePr/>
      </xdr:nvGraphicFramePr>
      <xdr:xfrm>
        <a:off x="7894440" y="14668560"/>
        <a:ext cx="6118920" cy="28789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85</xdr:row>
      <xdr:rowOff>0</xdr:rowOff>
    </xdr:from>
    <xdr:to>
      <xdr:col>5</xdr:col>
      <xdr:colOff>480240</xdr:colOff>
      <xdr:row>100</xdr:row>
      <xdr:rowOff>21600</xdr:rowOff>
    </xdr:to>
    <xdr:graphicFrame>
      <xdr:nvGraphicFramePr>
        <xdr:cNvPr id="4" name="Chart 5"/>
        <xdr:cNvGraphicFramePr/>
      </xdr:nvGraphicFramePr>
      <xdr:xfrm>
        <a:off x="0" y="17716680"/>
        <a:ext cx="6118920" cy="287892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0</xdr:colOff>
      <xdr:row>85</xdr:row>
      <xdr:rowOff>0</xdr:rowOff>
    </xdr:from>
    <xdr:to>
      <xdr:col>12</xdr:col>
      <xdr:colOff>480240</xdr:colOff>
      <xdr:row>100</xdr:row>
      <xdr:rowOff>21600</xdr:rowOff>
    </xdr:to>
    <xdr:graphicFrame>
      <xdr:nvGraphicFramePr>
        <xdr:cNvPr id="5" name="Chart 6"/>
        <xdr:cNvGraphicFramePr/>
      </xdr:nvGraphicFramePr>
      <xdr:xfrm>
        <a:off x="7894440" y="17716680"/>
        <a:ext cx="6118920" cy="287892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101</xdr:row>
      <xdr:rowOff>0</xdr:rowOff>
    </xdr:from>
    <xdr:to>
      <xdr:col>3</xdr:col>
      <xdr:colOff>935640</xdr:colOff>
      <xdr:row>116</xdr:row>
      <xdr:rowOff>21240</xdr:rowOff>
    </xdr:to>
    <xdr:graphicFrame>
      <xdr:nvGraphicFramePr>
        <xdr:cNvPr id="6" name="Chart 7"/>
        <xdr:cNvGraphicFramePr/>
      </xdr:nvGraphicFramePr>
      <xdr:xfrm>
        <a:off x="0" y="20764440"/>
        <a:ext cx="4318920" cy="287892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0</xdr:colOff>
      <xdr:row>101</xdr:row>
      <xdr:rowOff>0</xdr:rowOff>
    </xdr:from>
    <xdr:to>
      <xdr:col>12</xdr:col>
      <xdr:colOff>480240</xdr:colOff>
      <xdr:row>116</xdr:row>
      <xdr:rowOff>21240</xdr:rowOff>
    </xdr:to>
    <xdr:graphicFrame>
      <xdr:nvGraphicFramePr>
        <xdr:cNvPr id="7" name="Chart 8"/>
        <xdr:cNvGraphicFramePr/>
      </xdr:nvGraphicFramePr>
      <xdr:xfrm>
        <a:off x="7894440" y="20764440"/>
        <a:ext cx="6118920" cy="287892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ables/table1.xml><?xml version="1.0" encoding="utf-8"?>
<table xmlns="http://schemas.openxmlformats.org/spreadsheetml/2006/main" id="1" name="ExpenseBudgetTbl" displayName="ExpenseBudgetTbl" ref="A3:I111" headerRowCount="1" totalsRowCount="0" totalsRowShown="0">
  <autoFilter ref="A3:I111"/>
  <tableColumns count="9">
    <tableColumn id="1" name="Month"/>
    <tableColumn id="2" name="Quarter"/>
    <tableColumn id="3" name="Expense Category"/>
    <tableColumn id="4" name="Type"/>
    <tableColumn id="5" name="Budget&#10;Expense (Rs.)"/>
    <tableColumn id="6" name="Actual&#10;Expense (Rs.)"/>
    <tableColumn id="7" name="Variance&#10;(Rs.)"/>
    <tableColumn id="8" name="Variance&#10;%"/>
    <tableColumn id="9" name="Status"/>
  </tableColumns>
</table>
</file>

<file path=xl/tables/table2.xml><?xml version="1.0" encoding="utf-8"?>
<table xmlns="http://schemas.openxmlformats.org/spreadsheetml/2006/main" id="2" name="RevenuePlanningTbl" displayName="RevenuePlanningTbl" ref="A3:P75" headerRowCount="1" totalsRowCount="0" totalsRowShown="0">
  <autoFilter ref="A3:P75"/>
  <tableColumns count="16">
    <tableColumn id="1" name="Month"/>
    <tableColumn id="2" name="Quarter"/>
    <tableColumn id="3" name="Category"/>
    <tableColumn id="4" name="Budget&#10;Volume (units)"/>
    <tableColumn id="5" name="Budget&#10;ASP (Rs.)"/>
    <tableColumn id="6" name="Budget&#10;Revenue (Rs.)"/>
    <tableColumn id="7" name="Actual&#10;Volume (units)"/>
    <tableColumn id="8" name="Actual&#10;ASP (Rs.)"/>
    <tableColumn id="9" name="Actual&#10;Revenue (Rs.)"/>
    <tableColumn id="10" name="Forecast&#10;Revenue (Rs.)"/>
    <tableColumn id="11" name="Revenue&#10;Variance (Rs.)"/>
    <tableColumn id="12" name="Revenue&#10;Variance %"/>
    <tableColumn id="13" name="Budget COGS&#10;Rate %"/>
    <tableColumn id="14" name="Budget&#10;COGS (Rs.)"/>
    <tableColumn id="15" name="Actual COGS&#10;Rate %"/>
    <tableColumn id="16" name="Actual&#10;COGS (R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M1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3" min="1" style="1" width="16"/>
  </cols>
  <sheetData>
    <row r="1" customFormat="false" ht="25.5" hidden="false" customHeight="true" outlineLevel="0" collapsed="false">
      <c r="A1" s="2" t="s">
        <v>0</v>
      </c>
      <c r="B1" s="2"/>
      <c r="C1" s="2"/>
      <c r="D1" s="2"/>
      <c r="E1" s="2"/>
      <c r="F1" s="2"/>
      <c r="G1" s="2"/>
      <c r="H1" s="2"/>
      <c r="I1" s="2"/>
      <c r="J1" s="2"/>
      <c r="K1" s="2"/>
      <c r="L1" s="2"/>
      <c r="M1" s="2"/>
    </row>
    <row r="3" customFormat="false" ht="25.5" hidden="false" customHeight="true" outlineLevel="0" collapsed="false">
      <c r="A3" s="3" t="s">
        <v>1</v>
      </c>
      <c r="B3" s="3"/>
      <c r="C3" s="3"/>
      <c r="D3" s="3" t="s">
        <v>2</v>
      </c>
      <c r="E3" s="3"/>
      <c r="F3" s="3"/>
      <c r="G3" s="3" t="s">
        <v>3</v>
      </c>
      <c r="H3" s="3"/>
      <c r="I3" s="3"/>
      <c r="J3" s="3" t="s">
        <v>4</v>
      </c>
      <c r="K3" s="3"/>
      <c r="L3" s="3"/>
    </row>
    <row r="4" customFormat="false" ht="24" hidden="false" customHeight="true" outlineLevel="0" collapsed="false">
      <c r="A4" s="4" t="n">
        <f aca="false">'Budget vs Actual'!D16</f>
        <v>35560258.39</v>
      </c>
      <c r="B4" s="4"/>
      <c r="C4" s="4"/>
      <c r="D4" s="4" t="n">
        <f aca="false">'Budget vs Actual'!C16</f>
        <v>35684849.93</v>
      </c>
      <c r="E4" s="4"/>
      <c r="F4" s="4"/>
      <c r="G4" s="4" t="n">
        <f aca="false">'Budget vs Actual'!E16</f>
        <v>-124591.539999999</v>
      </c>
      <c r="H4" s="4"/>
      <c r="I4" s="4"/>
      <c r="J4" s="4" t="n">
        <f aca="false">'Budget vs Actual'!I16</f>
        <v>29691261.35204</v>
      </c>
      <c r="K4" s="4"/>
      <c r="L4" s="4"/>
    </row>
    <row r="6" customFormat="false" ht="25.5" hidden="false" customHeight="true" outlineLevel="0" collapsed="false">
      <c r="A6" s="3" t="s">
        <v>5</v>
      </c>
      <c r="B6" s="3"/>
      <c r="C6" s="3"/>
      <c r="D6" s="3" t="s">
        <v>6</v>
      </c>
      <c r="E6" s="3"/>
      <c r="F6" s="3"/>
      <c r="G6" s="3" t="s">
        <v>7</v>
      </c>
      <c r="H6" s="3"/>
      <c r="I6" s="3"/>
      <c r="J6" s="3" t="s">
        <v>8</v>
      </c>
      <c r="K6" s="3"/>
      <c r="L6" s="3"/>
    </row>
    <row r="7" customFormat="false" ht="24" hidden="false" customHeight="true" outlineLevel="0" collapsed="false">
      <c r="A7" s="4" t="n">
        <f aca="false">'Budget vs Actual'!H16</f>
        <v>29638173.0648</v>
      </c>
      <c r="B7" s="4"/>
      <c r="C7" s="4"/>
      <c r="D7" s="4" t="n">
        <f aca="false">'Budget vs Actual'!J16</f>
        <v>53088.2872400004</v>
      </c>
      <c r="E7" s="4"/>
      <c r="F7" s="4"/>
      <c r="G7" s="4" t="n">
        <f aca="false">'Budget vs Actual'!D16-SUM('Revenue Planning'!P4:P51)</f>
        <v>13265308.03796</v>
      </c>
      <c r="H7" s="4"/>
      <c r="I7" s="4"/>
      <c r="J7" s="4" t="n">
        <f aca="false">'Budget vs Actual'!N16</f>
        <v>5868997.03796</v>
      </c>
      <c r="K7" s="4"/>
      <c r="L7" s="4"/>
    </row>
    <row r="9" customFormat="false" ht="25.5" hidden="false" customHeight="true" outlineLevel="0" collapsed="false">
      <c r="A9" s="3" t="s">
        <v>9</v>
      </c>
      <c r="B9" s="3"/>
      <c r="C9" s="3"/>
      <c r="D9" s="3" t="s">
        <v>10</v>
      </c>
      <c r="E9" s="3"/>
      <c r="F9" s="3"/>
      <c r="G9" s="3" t="s">
        <v>11</v>
      </c>
      <c r="H9" s="3"/>
      <c r="I9" s="3"/>
      <c r="J9" s="3" t="s">
        <v>12</v>
      </c>
      <c r="K9" s="3"/>
      <c r="L9" s="3"/>
    </row>
    <row r="10" customFormat="false" ht="24" hidden="false" customHeight="true" outlineLevel="0" collapsed="false">
      <c r="A10" s="5" t="n">
        <f aca="false">IFERROR('Budget vs Actual'!N16/'Budget vs Actual'!D16,"")</f>
        <v>0.16504371181989</v>
      </c>
      <c r="B10" s="5"/>
      <c r="C10" s="5"/>
      <c r="D10" s="4" t="n">
        <f aca="false">'Financial Forecast'!C18</f>
        <v>19118726.71</v>
      </c>
      <c r="E10" s="4"/>
      <c r="F10" s="4"/>
      <c r="G10" s="4" t="n">
        <f aca="false">'Financial Forecast'!E18</f>
        <v>3248750.18</v>
      </c>
      <c r="H10" s="4"/>
      <c r="I10" s="4"/>
      <c r="J10" s="5" t="n">
        <f aca="false">IFERROR('Budget vs Actual'!D16/'Budget vs Actual'!C16,"")</f>
        <v>0.996508559227672</v>
      </c>
      <c r="K10" s="5"/>
      <c r="L10" s="5"/>
    </row>
    <row r="16" customFormat="false" ht="15" hidden="false" customHeight="true" outlineLevel="0" collapsed="false">
      <c r="A16" s="6" t="s">
        <v>13</v>
      </c>
    </row>
    <row r="17" customFormat="false" ht="27.75" hidden="false" customHeight="true" outlineLevel="0" collapsed="false">
      <c r="A17" s="7" t="s">
        <v>14</v>
      </c>
      <c r="B17" s="7" t="s">
        <v>15</v>
      </c>
      <c r="C17" s="7" t="s">
        <v>16</v>
      </c>
      <c r="D17" s="7" t="s">
        <v>17</v>
      </c>
      <c r="E17" s="7" t="s">
        <v>18</v>
      </c>
      <c r="F17" s="7" t="s">
        <v>19</v>
      </c>
      <c r="G17" s="7" t="s">
        <v>20</v>
      </c>
      <c r="H17" s="7" t="s">
        <v>21</v>
      </c>
      <c r="I17" s="7" t="s">
        <v>22</v>
      </c>
      <c r="J17" s="7" t="s">
        <v>23</v>
      </c>
    </row>
    <row r="18" customFormat="false" ht="15" hidden="false" customHeight="true" outlineLevel="0" collapsed="false">
      <c r="A18" s="8" t="str">
        <f aca="false">'Budget vs Actual'!A4</f>
        <v>Apr-24</v>
      </c>
      <c r="B18" s="9" t="n">
        <f aca="false">'Budget vs Actual'!C4</f>
        <v>2861000</v>
      </c>
      <c r="C18" s="9" t="n">
        <f aca="false">'Budget vs Actual'!D4</f>
        <v>2874061.94</v>
      </c>
      <c r="D18" s="9" t="n">
        <f aca="false">'Budget vs Actual'!H4</f>
        <v>2371400</v>
      </c>
      <c r="E18" s="9" t="n">
        <f aca="false">'Budget vs Actual'!I4</f>
        <v>2371148.492708</v>
      </c>
      <c r="F18" s="9" t="n">
        <f aca="false">'Budget vs Actual'!M4</f>
        <v>489600</v>
      </c>
      <c r="G18" s="9" t="n">
        <f aca="false">'Budget vs Actual'!N4</f>
        <v>502913.447292</v>
      </c>
      <c r="H18" s="9" t="n">
        <f aca="false">'Budget vs Actual'!E4</f>
        <v>13061.9399999999</v>
      </c>
      <c r="I18" s="10" t="n">
        <f aca="false">IFERROR(G18/C18,"")</f>
        <v>0.174983510373475</v>
      </c>
      <c r="J18" s="10" t="n">
        <f aca="false">IFERROR(F18/B18,"")</f>
        <v>0.171128975882559</v>
      </c>
    </row>
    <row r="19" customFormat="false" ht="15" hidden="false" customHeight="true" outlineLevel="0" collapsed="false">
      <c r="A19" s="8" t="str">
        <f aca="false">'Budget vs Actual'!A5</f>
        <v>May-24</v>
      </c>
      <c r="B19" s="9" t="n">
        <f aca="false">'Budget vs Actual'!C5</f>
        <v>2978440.7</v>
      </c>
      <c r="C19" s="9" t="n">
        <f aca="false">'Budget vs Actual'!D5</f>
        <v>2956844.19</v>
      </c>
      <c r="D19" s="9" t="n">
        <f aca="false">'Budget vs Actual'!H5</f>
        <v>2446171.8996</v>
      </c>
      <c r="E19" s="9" t="n">
        <f aca="false">'Budget vs Actual'!I5</f>
        <v>2437711.095905</v>
      </c>
      <c r="F19" s="9" t="n">
        <f aca="false">'Budget vs Actual'!M5</f>
        <v>532268.8004</v>
      </c>
      <c r="G19" s="9" t="n">
        <f aca="false">'Budget vs Actual'!N5</f>
        <v>519133.094095</v>
      </c>
      <c r="H19" s="9" t="n">
        <f aca="false">'Budget vs Actual'!E5</f>
        <v>-21596.5100000002</v>
      </c>
      <c r="I19" s="10" t="n">
        <f aca="false">IFERROR(G19/C19,"")</f>
        <v>0.17556998635596</v>
      </c>
      <c r="J19" s="10" t="n">
        <f aca="false">IFERROR(F19/B19,"")</f>
        <v>0.178707200851775</v>
      </c>
    </row>
    <row r="20" customFormat="false" ht="15" hidden="false" customHeight="true" outlineLevel="0" collapsed="false">
      <c r="A20" s="8" t="str">
        <f aca="false">'Budget vs Actual'!A6</f>
        <v>Jun-24</v>
      </c>
      <c r="B20" s="9" t="n">
        <f aca="false">'Budget vs Actual'!C6</f>
        <v>2943903.76</v>
      </c>
      <c r="C20" s="9" t="n">
        <f aca="false">'Budget vs Actual'!D6</f>
        <v>2920238.24</v>
      </c>
      <c r="D20" s="9" t="n">
        <f aca="false">'Budget vs Actual'!H6</f>
        <v>2429053.5582</v>
      </c>
      <c r="E20" s="9" t="n">
        <f aca="false">'Budget vs Actual'!I6</f>
        <v>2447488.962186</v>
      </c>
      <c r="F20" s="9" t="n">
        <f aca="false">'Budget vs Actual'!M6</f>
        <v>514850.2018</v>
      </c>
      <c r="G20" s="9" t="n">
        <f aca="false">'Budget vs Actual'!N6</f>
        <v>472749.277814</v>
      </c>
      <c r="H20" s="9" t="n">
        <f aca="false">'Budget vs Actual'!E6</f>
        <v>-23665.5199999996</v>
      </c>
      <c r="I20" s="10" t="n">
        <f aca="false">IFERROR(G20/C20,"")</f>
        <v>0.161887229383723</v>
      </c>
      <c r="J20" s="10" t="n">
        <f aca="false">IFERROR(F20/B20,"")</f>
        <v>0.174886899767403</v>
      </c>
    </row>
    <row r="21" customFormat="false" ht="15" hidden="false" customHeight="true" outlineLevel="0" collapsed="false">
      <c r="A21" s="8" t="str">
        <f aca="false">'Budget vs Actual'!A7</f>
        <v>Jul-24</v>
      </c>
      <c r="B21" s="9" t="n">
        <f aca="false">'Budget vs Actual'!C7</f>
        <v>2742366.99</v>
      </c>
      <c r="C21" s="9" t="n">
        <f aca="false">'Budget vs Actual'!D7</f>
        <v>2661268.87</v>
      </c>
      <c r="D21" s="9" t="n">
        <f aca="false">'Budget vs Actual'!H7</f>
        <v>2312882.558</v>
      </c>
      <c r="E21" s="9" t="n">
        <f aca="false">'Budget vs Actual'!I7</f>
        <v>2300692.024766</v>
      </c>
      <c r="F21" s="9" t="n">
        <f aca="false">'Budget vs Actual'!M7</f>
        <v>429484.432</v>
      </c>
      <c r="G21" s="9" t="n">
        <f aca="false">'Budget vs Actual'!N7</f>
        <v>360576.845234</v>
      </c>
      <c r="H21" s="9" t="n">
        <f aca="false">'Budget vs Actual'!E7</f>
        <v>-81098.1199999997</v>
      </c>
      <c r="I21" s="10" t="n">
        <f aca="false">IFERROR(G21/C21,"")</f>
        <v>0.135490573424849</v>
      </c>
      <c r="J21" s="10" t="n">
        <f aca="false">IFERROR(F21/B21,"")</f>
        <v>0.156610852437368</v>
      </c>
    </row>
    <row r="22" customFormat="false" ht="15" hidden="false" customHeight="true" outlineLevel="0" collapsed="false">
      <c r="A22" s="8" t="str">
        <f aca="false">'Budget vs Actual'!A8</f>
        <v>Aug-24</v>
      </c>
      <c r="B22" s="9" t="n">
        <f aca="false">'Budget vs Actual'!C8</f>
        <v>2743148.7</v>
      </c>
      <c r="C22" s="9" t="n">
        <f aca="false">'Budget vs Actual'!D8</f>
        <v>2611563.16</v>
      </c>
      <c r="D22" s="9" t="n">
        <f aca="false">'Budget vs Actual'!H8</f>
        <v>2317691.3656</v>
      </c>
      <c r="E22" s="9" t="n">
        <f aca="false">'Budget vs Actual'!I8</f>
        <v>2282909.76752</v>
      </c>
      <c r="F22" s="9" t="n">
        <f aca="false">'Budget vs Actual'!M8</f>
        <v>425457.3344</v>
      </c>
      <c r="G22" s="9" t="n">
        <f aca="false">'Budget vs Actual'!N8</f>
        <v>328653.39248</v>
      </c>
      <c r="H22" s="9" t="n">
        <f aca="false">'Budget vs Actual'!E8</f>
        <v>-131585.54</v>
      </c>
      <c r="I22" s="10" t="n">
        <f aca="false">IFERROR(G22/C22,"")</f>
        <v>0.125845469684141</v>
      </c>
      <c r="J22" s="10" t="n">
        <f aca="false">IFERROR(F22/B22,"")</f>
        <v>0.155098166716226</v>
      </c>
    </row>
    <row r="23" customFormat="false" ht="15" hidden="false" customHeight="true" outlineLevel="0" collapsed="false">
      <c r="A23" s="8" t="str">
        <f aca="false">'Budget vs Actual'!A9</f>
        <v>Sep-24</v>
      </c>
      <c r="B23" s="9" t="n">
        <f aca="false">'Budget vs Actual'!C9</f>
        <v>2843333.82</v>
      </c>
      <c r="C23" s="9" t="n">
        <f aca="false">'Budget vs Actual'!D9</f>
        <v>2826123.68</v>
      </c>
      <c r="D23" s="9" t="n">
        <f aca="false">'Budget vs Actual'!H9</f>
        <v>2383317.2448</v>
      </c>
      <c r="E23" s="9" t="n">
        <f aca="false">'Budget vs Actual'!I9</f>
        <v>2364068.271716</v>
      </c>
      <c r="F23" s="9" t="n">
        <f aca="false">'Budget vs Actual'!M9</f>
        <v>460016.5752</v>
      </c>
      <c r="G23" s="9" t="n">
        <f aca="false">'Budget vs Actual'!N9</f>
        <v>462055.408284</v>
      </c>
      <c r="H23" s="9" t="n">
        <f aca="false">'Budget vs Actual'!E9</f>
        <v>-17210.1399999997</v>
      </c>
      <c r="I23" s="10" t="n">
        <f aca="false">IFERROR(G23/C23,"")</f>
        <v>0.163494404563356</v>
      </c>
      <c r="J23" s="10" t="n">
        <f aca="false">IFERROR(F23/B23,"")</f>
        <v>0.161787747876892</v>
      </c>
    </row>
    <row r="24" customFormat="false" ht="15" hidden="false" customHeight="true" outlineLevel="0" collapsed="false">
      <c r="A24" s="8" t="str">
        <f aca="false">'Budget vs Actual'!A10</f>
        <v>Oct-24</v>
      </c>
      <c r="B24" s="9" t="n">
        <f aca="false">'Budget vs Actual'!C10</f>
        <v>3308101.5</v>
      </c>
      <c r="C24" s="9" t="n">
        <f aca="false">'Budget vs Actual'!D10</f>
        <v>3579618.24</v>
      </c>
      <c r="D24" s="9" t="n">
        <f aca="false">'Budget vs Actual'!H10</f>
        <v>2705340.548</v>
      </c>
      <c r="E24" s="9" t="n">
        <f aca="false">'Budget vs Actual'!I10</f>
        <v>2869470.359468</v>
      </c>
      <c r="F24" s="9" t="n">
        <f aca="false">'Budget vs Actual'!M10</f>
        <v>602760.952</v>
      </c>
      <c r="G24" s="9" t="n">
        <f aca="false">'Budget vs Actual'!N10</f>
        <v>710147.880532</v>
      </c>
      <c r="H24" s="9" t="n">
        <f aca="false">'Budget vs Actual'!E10</f>
        <v>271516.74</v>
      </c>
      <c r="I24" s="10" t="n">
        <f aca="false">IFERROR(G24/C24,"")</f>
        <v>0.19838648507166</v>
      </c>
      <c r="J24" s="10" t="n">
        <f aca="false">IFERROR(F24/B24,"")</f>
        <v>0.182207514491318</v>
      </c>
    </row>
    <row r="25" customFormat="false" ht="15" hidden="false" customHeight="true" outlineLevel="0" collapsed="false">
      <c r="A25" s="8" t="str">
        <f aca="false">'Budget vs Actual'!A11</f>
        <v>Nov-24</v>
      </c>
      <c r="B25" s="9" t="n">
        <f aca="false">'Budget vs Actual'!C11</f>
        <v>3456789.67</v>
      </c>
      <c r="C25" s="9" t="n">
        <f aca="false">'Budget vs Actual'!D11</f>
        <v>3669694.39</v>
      </c>
      <c r="D25" s="9" t="n">
        <f aca="false">'Budget vs Actual'!H11</f>
        <v>2804484.3362</v>
      </c>
      <c r="E25" s="9" t="n">
        <f aca="false">'Budget vs Actual'!I11</f>
        <v>2932696.963887</v>
      </c>
      <c r="F25" s="9" t="n">
        <f aca="false">'Budget vs Actual'!M11</f>
        <v>652305.3338</v>
      </c>
      <c r="G25" s="9" t="n">
        <f aca="false">'Budget vs Actual'!N11</f>
        <v>736997.426113</v>
      </c>
      <c r="H25" s="9" t="n">
        <f aca="false">'Budget vs Actual'!E11</f>
        <v>212904.72</v>
      </c>
      <c r="I25" s="10" t="n">
        <f aca="false">IFERROR(G25/C25,"")</f>
        <v>0.200833461260789</v>
      </c>
      <c r="J25" s="10" t="n">
        <f aca="false">IFERROR(F25/B25,"")</f>
        <v>0.188702639174457</v>
      </c>
    </row>
    <row r="26" customFormat="false" ht="15" hidden="false" customHeight="true" outlineLevel="0" collapsed="false">
      <c r="A26" s="8" t="str">
        <f aca="false">'Budget vs Actual'!A12</f>
        <v>Dec-24</v>
      </c>
      <c r="B26" s="9" t="n">
        <f aca="false">'Budget vs Actual'!C12</f>
        <v>3144592.85</v>
      </c>
      <c r="C26" s="9" t="n">
        <f aca="false">'Budget vs Actual'!D12</f>
        <v>3131490.95</v>
      </c>
      <c r="D26" s="9" t="n">
        <f aca="false">'Budget vs Actual'!H12</f>
        <v>2581234.7936</v>
      </c>
      <c r="E26" s="9" t="n">
        <f aca="false">'Budget vs Actual'!I12</f>
        <v>2563749.979818</v>
      </c>
      <c r="F26" s="9" t="n">
        <f aca="false">'Budget vs Actual'!M12</f>
        <v>563358.0564</v>
      </c>
      <c r="G26" s="9" t="n">
        <f aca="false">'Budget vs Actual'!N12</f>
        <v>567740.970182</v>
      </c>
      <c r="H26" s="9" t="n">
        <f aca="false">'Budget vs Actual'!E12</f>
        <v>-13101.8999999999</v>
      </c>
      <c r="I26" s="10" t="n">
        <f aca="false">IFERROR(G26/C26,"")</f>
        <v>0.181300530401341</v>
      </c>
      <c r="J26" s="10" t="n">
        <f aca="false">IFERROR(F26/B26,"")</f>
        <v>0.179151350674858</v>
      </c>
    </row>
    <row r="27" customFormat="false" ht="15" hidden="false" customHeight="true" outlineLevel="0" collapsed="false">
      <c r="A27" s="8" t="str">
        <f aca="false">'Budget vs Actual'!A13</f>
        <v>Jan-25</v>
      </c>
      <c r="B27" s="9" t="n">
        <f aca="false">'Budget vs Actual'!C13</f>
        <v>2770198.68</v>
      </c>
      <c r="C27" s="9" t="n">
        <f aca="false">'Budget vs Actual'!D13</f>
        <v>2469819.37</v>
      </c>
      <c r="D27" s="9" t="n">
        <f aca="false">'Budget vs Actual'!H13</f>
        <v>2354496.4276</v>
      </c>
      <c r="E27" s="9" t="n">
        <f aca="false">'Budget vs Actual'!I13</f>
        <v>2206679.637388</v>
      </c>
      <c r="F27" s="9" t="n">
        <f aca="false">'Budget vs Actual'!M13</f>
        <v>415702.2524</v>
      </c>
      <c r="G27" s="9" t="n">
        <f aca="false">'Budget vs Actual'!N13</f>
        <v>263139.732612</v>
      </c>
      <c r="H27" s="9" t="n">
        <f aca="false">'Budget vs Actual'!E13</f>
        <v>-300379.31</v>
      </c>
      <c r="I27" s="10" t="n">
        <f aca="false">IFERROR(G27/C27,"")</f>
        <v>0.106542096077253</v>
      </c>
      <c r="J27" s="10" t="n">
        <f aca="false">IFERROR(F27/B27,"")</f>
        <v>0.15006225199703</v>
      </c>
    </row>
    <row r="28" customFormat="false" ht="15" hidden="false" customHeight="true" outlineLevel="0" collapsed="false">
      <c r="A28" s="8" t="str">
        <f aca="false">'Budget vs Actual'!A14</f>
        <v>Feb-25</v>
      </c>
      <c r="B28" s="9" t="n">
        <f aca="false">'Budget vs Actual'!C14</f>
        <v>2836900.5</v>
      </c>
      <c r="C28" s="9" t="n">
        <f aca="false">'Budget vs Actual'!D14</f>
        <v>2830605.62</v>
      </c>
      <c r="D28" s="9" t="n">
        <f aca="false">'Budget vs Actual'!H14</f>
        <v>2397655.272</v>
      </c>
      <c r="E28" s="9" t="n">
        <f aca="false">'Budget vs Actual'!I14</f>
        <v>2390328.811954</v>
      </c>
      <c r="F28" s="9" t="n">
        <f aca="false">'Budget vs Actual'!M14</f>
        <v>439245.228</v>
      </c>
      <c r="G28" s="9" t="n">
        <f aca="false">'Budget vs Actual'!N14</f>
        <v>440276.808046</v>
      </c>
      <c r="H28" s="9" t="n">
        <f aca="false">'Budget vs Actual'!E14</f>
        <v>-6294.87999999989</v>
      </c>
      <c r="I28" s="10" t="n">
        <f aca="false">IFERROR(G28/C28,"")</f>
        <v>0.15554155793911</v>
      </c>
      <c r="J28" s="10" t="n">
        <f aca="false">IFERROR(F28/B28,"")</f>
        <v>0.154832793042971</v>
      </c>
    </row>
    <row r="29" customFormat="false" ht="15" hidden="false" customHeight="true" outlineLevel="0" collapsed="false">
      <c r="A29" s="8" t="str">
        <f aca="false">'Budget vs Actual'!A15</f>
        <v>Mar-25</v>
      </c>
      <c r="B29" s="9" t="n">
        <f aca="false">'Budget vs Actual'!C15</f>
        <v>3056072.76</v>
      </c>
      <c r="C29" s="9" t="n">
        <f aca="false">'Budget vs Actual'!D15</f>
        <v>3028929.74</v>
      </c>
      <c r="D29" s="9" t="n">
        <f aca="false">'Budget vs Actual'!H15</f>
        <v>2534445.0612</v>
      </c>
      <c r="E29" s="9" t="n">
        <f aca="false">'Budget vs Actual'!I15</f>
        <v>2524316.984724</v>
      </c>
      <c r="F29" s="9" t="n">
        <f aca="false">'Budget vs Actual'!M15</f>
        <v>521627.6988</v>
      </c>
      <c r="G29" s="9" t="n">
        <f aca="false">'Budget vs Actual'!N15</f>
        <v>504612.755276</v>
      </c>
      <c r="H29" s="9" t="n">
        <f aca="false">'Budget vs Actual'!E15</f>
        <v>-27143.0200000005</v>
      </c>
      <c r="I29" s="10" t="n">
        <f aca="false">IFERROR(G29/C29,"")</f>
        <v>0.166597708957092</v>
      </c>
      <c r="J29" s="10" t="n">
        <f aca="false">IFERROR(F29/B29,"")</f>
        <v>0.170685628178565</v>
      </c>
    </row>
    <row r="31" customFormat="false" ht="15" hidden="false" customHeight="true" outlineLevel="0" collapsed="false">
      <c r="A31" s="6" t="s">
        <v>24</v>
      </c>
    </row>
    <row r="32" customFormat="false" ht="27.75" hidden="false" customHeight="true" outlineLevel="0" collapsed="false">
      <c r="A32" s="7" t="s">
        <v>14</v>
      </c>
      <c r="B32" s="7" t="s">
        <v>25</v>
      </c>
    </row>
    <row r="33" customFormat="false" ht="15" hidden="false" customHeight="true" outlineLevel="0" collapsed="false">
      <c r="A33" s="8" t="str">
        <f aca="false">'Budget vs Actual'!A4</f>
        <v>Apr-24</v>
      </c>
      <c r="B33" s="9" t="n">
        <f aca="false">'Budget vs Actual'!D4</f>
        <v>2874061.94</v>
      </c>
    </row>
    <row r="34" customFormat="false" ht="15" hidden="false" customHeight="true" outlineLevel="0" collapsed="false">
      <c r="A34" s="8" t="str">
        <f aca="false">'Budget vs Actual'!A5</f>
        <v>May-24</v>
      </c>
      <c r="B34" s="9" t="n">
        <f aca="false">'Budget vs Actual'!D5</f>
        <v>2956844.19</v>
      </c>
    </row>
    <row r="35" customFormat="false" ht="15" hidden="false" customHeight="true" outlineLevel="0" collapsed="false">
      <c r="A35" s="8" t="str">
        <f aca="false">'Budget vs Actual'!A6</f>
        <v>Jun-24</v>
      </c>
      <c r="B35" s="9" t="n">
        <f aca="false">'Budget vs Actual'!D6</f>
        <v>2920238.24</v>
      </c>
    </row>
    <row r="36" customFormat="false" ht="15" hidden="false" customHeight="true" outlineLevel="0" collapsed="false">
      <c r="A36" s="8" t="str">
        <f aca="false">'Budget vs Actual'!A7</f>
        <v>Jul-24</v>
      </c>
      <c r="B36" s="9" t="n">
        <f aca="false">'Budget vs Actual'!D7</f>
        <v>2661268.87</v>
      </c>
    </row>
    <row r="37" customFormat="false" ht="15" hidden="false" customHeight="true" outlineLevel="0" collapsed="false">
      <c r="A37" s="8" t="str">
        <f aca="false">'Budget vs Actual'!A8</f>
        <v>Aug-24</v>
      </c>
      <c r="B37" s="9" t="n">
        <f aca="false">'Budget vs Actual'!D8</f>
        <v>2611563.16</v>
      </c>
    </row>
    <row r="38" customFormat="false" ht="15" hidden="false" customHeight="true" outlineLevel="0" collapsed="false">
      <c r="A38" s="8" t="str">
        <f aca="false">'Budget vs Actual'!A9</f>
        <v>Sep-24</v>
      </c>
      <c r="B38" s="9" t="n">
        <f aca="false">'Budget vs Actual'!D9</f>
        <v>2826123.68</v>
      </c>
    </row>
    <row r="39" customFormat="false" ht="15" hidden="false" customHeight="true" outlineLevel="0" collapsed="false">
      <c r="A39" s="8" t="str">
        <f aca="false">'Budget vs Actual'!A10</f>
        <v>Oct-24</v>
      </c>
      <c r="B39" s="9" t="n">
        <f aca="false">'Budget vs Actual'!D10</f>
        <v>3579618.24</v>
      </c>
    </row>
    <row r="40" customFormat="false" ht="15" hidden="false" customHeight="true" outlineLevel="0" collapsed="false">
      <c r="A40" s="8" t="str">
        <f aca="false">'Budget vs Actual'!A11</f>
        <v>Nov-24</v>
      </c>
      <c r="B40" s="9" t="n">
        <f aca="false">'Budget vs Actual'!D11</f>
        <v>3669694.39</v>
      </c>
    </row>
    <row r="41" customFormat="false" ht="15" hidden="false" customHeight="true" outlineLevel="0" collapsed="false">
      <c r="A41" s="8" t="str">
        <f aca="false">'Budget vs Actual'!A12</f>
        <v>Dec-24</v>
      </c>
      <c r="B41" s="9" t="n">
        <f aca="false">'Budget vs Actual'!D12</f>
        <v>3131490.95</v>
      </c>
    </row>
    <row r="42" customFormat="false" ht="15" hidden="false" customHeight="true" outlineLevel="0" collapsed="false">
      <c r="A42" s="8" t="str">
        <f aca="false">'Budget vs Actual'!A13</f>
        <v>Jan-25</v>
      </c>
      <c r="B42" s="9" t="n">
        <f aca="false">'Budget vs Actual'!D13</f>
        <v>2469819.37</v>
      </c>
    </row>
    <row r="43" customFormat="false" ht="15" hidden="false" customHeight="true" outlineLevel="0" collapsed="false">
      <c r="A43" s="8" t="str">
        <f aca="false">'Budget vs Actual'!A14</f>
        <v>Feb-25</v>
      </c>
      <c r="B43" s="9" t="n">
        <f aca="false">'Budget vs Actual'!D14</f>
        <v>2830605.62</v>
      </c>
    </row>
    <row r="44" customFormat="false" ht="15" hidden="false" customHeight="true" outlineLevel="0" collapsed="false">
      <c r="A44" s="8" t="str">
        <f aca="false">'Budget vs Actual'!A15</f>
        <v>Mar-25</v>
      </c>
      <c r="B44" s="9" t="n">
        <f aca="false">'Budget vs Actual'!D15</f>
        <v>3028929.74</v>
      </c>
    </row>
    <row r="45" customFormat="false" ht="15" hidden="false" customHeight="true" outlineLevel="0" collapsed="false">
      <c r="A45" s="8" t="str">
        <f aca="false">'Financial Forecast'!A12</f>
        <v>Apr-25</v>
      </c>
      <c r="B45" s="9" t="n">
        <f aca="false">'Financial Forecast'!C12</f>
        <v>3072815.82</v>
      </c>
    </row>
    <row r="46" customFormat="false" ht="15" hidden="false" customHeight="true" outlineLevel="0" collapsed="false">
      <c r="A46" s="8" t="str">
        <f aca="false">'Financial Forecast'!A13</f>
        <v>May-25</v>
      </c>
      <c r="B46" s="9" t="n">
        <f aca="false">'Financial Forecast'!C13</f>
        <v>3117363.96</v>
      </c>
    </row>
    <row r="47" customFormat="false" ht="15" hidden="false" customHeight="true" outlineLevel="0" collapsed="false">
      <c r="A47" s="8" t="str">
        <f aca="false">'Financial Forecast'!A14</f>
        <v>Jun-25</v>
      </c>
      <c r="B47" s="9" t="n">
        <f aca="false">'Financial Forecast'!C14</f>
        <v>3162584.59</v>
      </c>
    </row>
    <row r="48" customFormat="false" ht="15" hidden="false" customHeight="true" outlineLevel="0" collapsed="false">
      <c r="A48" s="8" t="str">
        <f aca="false">'Financial Forecast'!A15</f>
        <v>Jul-25</v>
      </c>
      <c r="B48" s="9" t="n">
        <f aca="false">'Financial Forecast'!C15</f>
        <v>3208488.32</v>
      </c>
    </row>
    <row r="49" customFormat="false" ht="15" hidden="false" customHeight="true" outlineLevel="0" collapsed="false">
      <c r="A49" s="8" t="str">
        <f aca="false">'Financial Forecast'!A16</f>
        <v>Aug-25</v>
      </c>
      <c r="B49" s="9" t="n">
        <f aca="false">'Financial Forecast'!C16</f>
        <v>3255085.86</v>
      </c>
    </row>
    <row r="50" customFormat="false" ht="15" hidden="false" customHeight="true" outlineLevel="0" collapsed="false">
      <c r="A50" s="8" t="str">
        <f aca="false">'Financial Forecast'!A17</f>
        <v>Sep-25</v>
      </c>
      <c r="B50" s="9" t="n">
        <f aca="false">'Financial Forecast'!C17</f>
        <v>3302388.16</v>
      </c>
    </row>
    <row r="52" customFormat="false" ht="15" hidden="false" customHeight="true" outlineLevel="0" collapsed="false">
      <c r="A52" s="6" t="s">
        <v>26</v>
      </c>
    </row>
    <row r="53" customFormat="false" ht="27.75" hidden="false" customHeight="true" outlineLevel="0" collapsed="false">
      <c r="A53" s="7" t="s">
        <v>27</v>
      </c>
      <c r="B53" s="7" t="s">
        <v>28</v>
      </c>
    </row>
    <row r="54" customFormat="false" ht="15" hidden="false" customHeight="true" outlineLevel="0" collapsed="false">
      <c r="A54" s="8" t="str">
        <f aca="false">'Expense Budget'!A117</f>
        <v>Salaries</v>
      </c>
      <c r="B54" s="9" t="n">
        <f aca="false">'Expense Budget'!F117</f>
        <v>16626</v>
      </c>
    </row>
    <row r="55" customFormat="false" ht="15" hidden="false" customHeight="true" outlineLevel="0" collapsed="false">
      <c r="A55" s="8" t="str">
        <f aca="false">'Expense Budget'!A118</f>
        <v>Rent</v>
      </c>
      <c r="B55" s="9" t="n">
        <f aca="false">'Expense Budget'!F118</f>
        <v>37</v>
      </c>
    </row>
    <row r="56" customFormat="false" ht="15" hidden="false" customHeight="true" outlineLevel="0" collapsed="false">
      <c r="A56" s="8" t="str">
        <f aca="false">'Expense Budget'!A119</f>
        <v>Utilities</v>
      </c>
      <c r="B56" s="9" t="n">
        <f aca="false">'Expense Budget'!F119</f>
        <v>7558</v>
      </c>
    </row>
    <row r="57" customFormat="false" ht="15" hidden="false" customHeight="true" outlineLevel="0" collapsed="false">
      <c r="A57" s="8" t="str">
        <f aca="false">'Expense Budget'!A120</f>
        <v>Marketing</v>
      </c>
      <c r="B57" s="9" t="n">
        <f aca="false">'Expense Budget'!F120</f>
        <v>11305</v>
      </c>
    </row>
    <row r="58" customFormat="false" ht="15" hidden="false" customHeight="true" outlineLevel="0" collapsed="false">
      <c r="A58" s="8" t="str">
        <f aca="false">'Expense Budget'!A121</f>
        <v>Technology</v>
      </c>
      <c r="B58" s="9" t="n">
        <f aca="false">'Expense Budget'!F121</f>
        <v>3417</v>
      </c>
    </row>
    <row r="59" customFormat="false" ht="15" hidden="false" customHeight="true" outlineLevel="0" collapsed="false">
      <c r="A59" s="8" t="str">
        <f aca="false">'Expense Budget'!A122</f>
        <v>Transportation</v>
      </c>
      <c r="B59" s="9" t="n">
        <f aca="false">'Expense Budget'!F122</f>
        <v>3631</v>
      </c>
    </row>
    <row r="60" customFormat="false" ht="15" hidden="false" customHeight="true" outlineLevel="0" collapsed="false">
      <c r="A60" s="8" t="str">
        <f aca="false">'Expense Budget'!A123</f>
        <v>Office Expenses</v>
      </c>
      <c r="B60" s="9" t="n">
        <f aca="false">'Expense Budget'!F123</f>
        <v>4427</v>
      </c>
    </row>
    <row r="61" customFormat="false" ht="15" hidden="false" customHeight="true" outlineLevel="0" collapsed="false">
      <c r="A61" s="8" t="str">
        <f aca="false">'Expense Budget'!A124</f>
        <v>Maintenance</v>
      </c>
      <c r="B61" s="9" t="n">
        <f aca="false">'Expense Budget'!F124</f>
        <v>33</v>
      </c>
    </row>
    <row r="62" customFormat="false" ht="15" hidden="false" customHeight="true" outlineLevel="0" collapsed="false">
      <c r="A62" s="8" t="str">
        <f aca="false">'Expense Budget'!A125</f>
        <v>Other Operating Expenses</v>
      </c>
      <c r="B62" s="9" t="n">
        <f aca="false">'Expense Budget'!F125</f>
        <v>480</v>
      </c>
    </row>
    <row r="64" customFormat="false" ht="15" hidden="false" customHeight="true" outlineLevel="0" collapsed="false">
      <c r="A64" s="6" t="s">
        <v>29</v>
      </c>
    </row>
    <row r="65" customFormat="false" ht="27.75" hidden="false" customHeight="true" outlineLevel="0" collapsed="false">
      <c r="A65" s="7" t="s">
        <v>27</v>
      </c>
      <c r="B65" s="7" t="s">
        <v>16</v>
      </c>
    </row>
    <row r="66" customFormat="false" ht="15" hidden="false" customHeight="true" outlineLevel="0" collapsed="false">
      <c r="A66" s="8" t="str">
        <f aca="false">'Revenue Planning'!A81</f>
        <v>Packaged Snacks</v>
      </c>
      <c r="B66" s="9" t="n">
        <f aca="false">'Revenue Planning'!G81</f>
        <v>10554798.17</v>
      </c>
    </row>
    <row r="67" customFormat="false" ht="15" hidden="false" customHeight="true" outlineLevel="0" collapsed="false">
      <c r="A67" s="8" t="str">
        <f aca="false">'Revenue Planning'!A82</f>
        <v>Beverages</v>
      </c>
      <c r="B67" s="9" t="n">
        <f aca="false">'Revenue Planning'!G82</f>
        <v>8623347.77</v>
      </c>
    </row>
    <row r="68" customFormat="false" ht="15" hidden="false" customHeight="true" outlineLevel="0" collapsed="false">
      <c r="A68" s="8" t="str">
        <f aca="false">'Revenue Planning'!A83</f>
        <v>Dairy Products</v>
      </c>
      <c r="B68" s="9" t="n">
        <f aca="false">'Revenue Planning'!G83</f>
        <v>10596560.07</v>
      </c>
    </row>
    <row r="69" customFormat="false" ht="15" hidden="false" customHeight="true" outlineLevel="0" collapsed="false">
      <c r="A69" s="8" t="str">
        <f aca="false">'Revenue Planning'!A84</f>
        <v>Bakery Items</v>
      </c>
      <c r="B69" s="9" t="n">
        <f aca="false">'Revenue Planning'!G84</f>
        <v>5785552.38</v>
      </c>
    </row>
    <row r="118" customFormat="false" ht="21.75" hidden="false" customHeight="true" outlineLevel="0" collapsed="false">
      <c r="A118" s="11" t="s">
        <v>30</v>
      </c>
      <c r="B118" s="11"/>
      <c r="C118" s="11"/>
      <c r="D118" s="11"/>
      <c r="E118" s="11"/>
      <c r="F118" s="11"/>
      <c r="G118" s="11"/>
      <c r="H118" s="11"/>
      <c r="I118" s="11"/>
      <c r="J118" s="11"/>
      <c r="K118" s="11"/>
      <c r="L118" s="11"/>
      <c r="M118" s="11"/>
    </row>
  </sheetData>
  <mergeCells count="26">
    <mergeCell ref="A1:M1"/>
    <mergeCell ref="A3:C3"/>
    <mergeCell ref="D3:F3"/>
    <mergeCell ref="G3:I3"/>
    <mergeCell ref="J3:L3"/>
    <mergeCell ref="A4:C4"/>
    <mergeCell ref="D4:F4"/>
    <mergeCell ref="G4:I4"/>
    <mergeCell ref="J4:L4"/>
    <mergeCell ref="A6:C6"/>
    <mergeCell ref="D6:F6"/>
    <mergeCell ref="G6:I6"/>
    <mergeCell ref="J6:L6"/>
    <mergeCell ref="A7:C7"/>
    <mergeCell ref="D7:F7"/>
    <mergeCell ref="G7:I7"/>
    <mergeCell ref="J7:L7"/>
    <mergeCell ref="A9:C9"/>
    <mergeCell ref="D9:F9"/>
    <mergeCell ref="G9:I9"/>
    <mergeCell ref="J9:L9"/>
    <mergeCell ref="A10:C10"/>
    <mergeCell ref="D10:F10"/>
    <mergeCell ref="G10:I10"/>
    <mergeCell ref="J10:L10"/>
    <mergeCell ref="A118:M11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8"/>
    <col collapsed="false" customWidth="true" hidden="false" outlineLevel="0" max="3" min="3" style="1" width="16"/>
    <col collapsed="false" customWidth="true" hidden="false" outlineLevel="0" max="4" min="4" style="1" width="13"/>
    <col collapsed="false" customWidth="true" hidden="false" outlineLevel="0" max="5" min="5" style="1" width="12"/>
    <col collapsed="false" customWidth="true" hidden="false" outlineLevel="0" max="6" min="6" style="1" width="15"/>
    <col collapsed="false" customWidth="true" hidden="false" outlineLevel="0" max="7" min="7" style="1" width="13"/>
    <col collapsed="false" customWidth="true" hidden="false" outlineLevel="0" max="8" min="8" style="1" width="12"/>
    <col collapsed="false" customWidth="true" hidden="false" outlineLevel="0" max="10" min="9" style="1" width="15"/>
    <col collapsed="false" customWidth="true" hidden="false" outlineLevel="0" max="11" min="11" style="1" width="14"/>
    <col collapsed="false" customWidth="true" hidden="false" outlineLevel="0" max="12" min="12" style="1" width="12"/>
    <col collapsed="false" customWidth="true" hidden="false" outlineLevel="0" max="13" min="13" style="1" width="14"/>
    <col collapsed="false" customWidth="true" hidden="false" outlineLevel="0" max="14" min="14" style="1" width="12"/>
    <col collapsed="false" customWidth="true" hidden="false" outlineLevel="0" max="17" min="15" style="1" width="14"/>
  </cols>
  <sheetData>
    <row r="1" customFormat="false" ht="21.75" hidden="false" customHeight="true" outlineLevel="0" collapsed="false">
      <c r="A1" s="2" t="s">
        <v>31</v>
      </c>
      <c r="B1" s="2"/>
      <c r="C1" s="2"/>
      <c r="D1" s="2"/>
      <c r="E1" s="2"/>
      <c r="F1" s="2"/>
      <c r="G1" s="2"/>
      <c r="H1" s="2"/>
      <c r="I1" s="2"/>
      <c r="J1" s="2"/>
      <c r="K1" s="2"/>
      <c r="L1" s="2"/>
      <c r="M1" s="2"/>
      <c r="N1" s="2"/>
      <c r="O1" s="2"/>
    </row>
    <row r="3" customFormat="false" ht="27.75" hidden="false" customHeight="true" outlineLevel="0" collapsed="false">
      <c r="A3" s="7" t="s">
        <v>14</v>
      </c>
      <c r="B3" s="7" t="s">
        <v>32</v>
      </c>
      <c r="C3" s="7" t="s">
        <v>27</v>
      </c>
      <c r="D3" s="7" t="s">
        <v>33</v>
      </c>
      <c r="E3" s="7" t="s">
        <v>34</v>
      </c>
      <c r="F3" s="7" t="s">
        <v>35</v>
      </c>
      <c r="G3" s="7" t="s">
        <v>36</v>
      </c>
      <c r="H3" s="7" t="s">
        <v>37</v>
      </c>
      <c r="I3" s="7" t="s">
        <v>38</v>
      </c>
      <c r="J3" s="7" t="s">
        <v>39</v>
      </c>
      <c r="K3" s="7" t="s">
        <v>40</v>
      </c>
      <c r="L3" s="7" t="s">
        <v>41</v>
      </c>
      <c r="M3" s="7" t="s">
        <v>42</v>
      </c>
      <c r="N3" s="7" t="s">
        <v>43</v>
      </c>
      <c r="O3" s="7" t="s">
        <v>44</v>
      </c>
      <c r="P3" s="7" t="s">
        <v>45</v>
      </c>
      <c r="Q3" s="7" t="s">
        <v>46</v>
      </c>
    </row>
    <row r="4" customFormat="false" ht="15" hidden="false" customHeight="true" outlineLevel="0" collapsed="false">
      <c r="A4" s="12" t="s">
        <v>47</v>
      </c>
      <c r="B4" s="12" t="s">
        <v>48</v>
      </c>
      <c r="C4" s="12" t="s">
        <v>49</v>
      </c>
      <c r="D4" s="13" t="n">
        <v>18000</v>
      </c>
      <c r="E4" s="14" t="n">
        <v>45</v>
      </c>
      <c r="F4" s="15" t="n">
        <f aca="false">D4*E4</f>
        <v>810000</v>
      </c>
      <c r="G4" s="13" t="n">
        <v>18179</v>
      </c>
      <c r="H4" s="14" t="n">
        <v>44.97</v>
      </c>
      <c r="I4" s="15" t="n">
        <f aca="false">G4*H4</f>
        <v>817509.63</v>
      </c>
      <c r="J4" s="16"/>
      <c r="K4" s="15" t="n">
        <f aca="false">IF(F4=0,"",I4-F4)</f>
        <v>7509.63000000001</v>
      </c>
      <c r="L4" s="17" t="n">
        <f aca="false">IFERROR(K4/F4,"")</f>
        <v>0.00927114814814815</v>
      </c>
      <c r="M4" s="18" t="n">
        <v>0.62</v>
      </c>
      <c r="N4" s="15" t="n">
        <f aca="false">F4*M4</f>
        <v>502200</v>
      </c>
      <c r="O4" s="18" t="n">
        <v>0.6174</v>
      </c>
      <c r="P4" s="15" t="n">
        <f aca="false">I4*O4</f>
        <v>504730.445562</v>
      </c>
    </row>
    <row r="5" customFormat="false" ht="15" hidden="false" customHeight="true" outlineLevel="0" collapsed="false">
      <c r="A5" s="12" t="s">
        <v>47</v>
      </c>
      <c r="B5" s="12" t="s">
        <v>48</v>
      </c>
      <c r="C5" s="12" t="s">
        <v>50</v>
      </c>
      <c r="D5" s="13" t="n">
        <v>27500</v>
      </c>
      <c r="E5" s="14" t="n">
        <v>28</v>
      </c>
      <c r="F5" s="15" t="n">
        <f aca="false">D5*E5</f>
        <v>770000</v>
      </c>
      <c r="G5" s="13" t="n">
        <v>27376</v>
      </c>
      <c r="H5" s="14" t="n">
        <v>28.01</v>
      </c>
      <c r="I5" s="15" t="n">
        <f aca="false">G5*H5</f>
        <v>766801.76</v>
      </c>
      <c r="J5" s="16"/>
      <c r="K5" s="15" t="n">
        <f aca="false">IF(F5=0,"",I5-F5)</f>
        <v>-3198.23999999999</v>
      </c>
      <c r="L5" s="17" t="n">
        <f aca="false">IFERROR(K5/F5,"")</f>
        <v>-0.00415355844155843</v>
      </c>
      <c r="M5" s="18" t="n">
        <v>0.58</v>
      </c>
      <c r="N5" s="15" t="n">
        <f aca="false">F5*M5</f>
        <v>446600</v>
      </c>
      <c r="O5" s="18" t="n">
        <v>0.5716</v>
      </c>
      <c r="P5" s="15" t="n">
        <f aca="false">I5*O5</f>
        <v>438303.886016</v>
      </c>
    </row>
    <row r="6" customFormat="false" ht="15" hidden="false" customHeight="true" outlineLevel="0" collapsed="false">
      <c r="A6" s="12" t="s">
        <v>47</v>
      </c>
      <c r="B6" s="12" t="s">
        <v>48</v>
      </c>
      <c r="C6" s="12" t="s">
        <v>51</v>
      </c>
      <c r="D6" s="13" t="n">
        <v>15000</v>
      </c>
      <c r="E6" s="14" t="n">
        <v>55</v>
      </c>
      <c r="F6" s="15" t="n">
        <f aca="false">D6*E6</f>
        <v>825000</v>
      </c>
      <c r="G6" s="13" t="n">
        <v>15222</v>
      </c>
      <c r="H6" s="14" t="n">
        <v>55.05</v>
      </c>
      <c r="I6" s="15" t="n">
        <f aca="false">G6*H6</f>
        <v>837971.1</v>
      </c>
      <c r="J6" s="16"/>
      <c r="K6" s="15" t="n">
        <f aca="false">IF(F6=0,"",I6-F6)</f>
        <v>12971.1</v>
      </c>
      <c r="L6" s="17" t="n">
        <f aca="false">IFERROR(K6/F6,"")</f>
        <v>0.0157225454545454</v>
      </c>
      <c r="M6" s="18" t="n">
        <v>0.68</v>
      </c>
      <c r="N6" s="15" t="n">
        <f aca="false">F6*M6</f>
        <v>561000</v>
      </c>
      <c r="O6" s="18" t="n">
        <v>0.6781</v>
      </c>
      <c r="P6" s="15" t="n">
        <f aca="false">I6*O6</f>
        <v>568228.20291</v>
      </c>
    </row>
    <row r="7" customFormat="false" ht="15" hidden="false" customHeight="true" outlineLevel="0" collapsed="false">
      <c r="A7" s="12" t="s">
        <v>47</v>
      </c>
      <c r="B7" s="12" t="s">
        <v>48</v>
      </c>
      <c r="C7" s="12" t="s">
        <v>52</v>
      </c>
      <c r="D7" s="13" t="n">
        <v>12000</v>
      </c>
      <c r="E7" s="14" t="n">
        <v>38</v>
      </c>
      <c r="F7" s="15" t="n">
        <f aca="false">D7*E7</f>
        <v>456000</v>
      </c>
      <c r="G7" s="13" t="n">
        <v>11955</v>
      </c>
      <c r="H7" s="14" t="n">
        <v>37.79</v>
      </c>
      <c r="I7" s="15" t="n">
        <f aca="false">G7*H7</f>
        <v>451779.45</v>
      </c>
      <c r="J7" s="16"/>
      <c r="K7" s="15" t="n">
        <f aca="false">IF(F7=0,"",I7-F7)</f>
        <v>-4220.54999999999</v>
      </c>
      <c r="L7" s="17" t="n">
        <f aca="false">IFERROR(K7/F7,"")</f>
        <v>-0.00925559210526313</v>
      </c>
      <c r="M7" s="18" t="n">
        <v>0.6</v>
      </c>
      <c r="N7" s="15" t="n">
        <f aca="false">F7*M7</f>
        <v>273600</v>
      </c>
      <c r="O7" s="18" t="n">
        <v>0.5996</v>
      </c>
      <c r="P7" s="15" t="n">
        <f aca="false">I7*O7</f>
        <v>270886.95822</v>
      </c>
    </row>
    <row r="8" customFormat="false" ht="15" hidden="false" customHeight="true" outlineLevel="0" collapsed="false">
      <c r="A8" s="12" t="s">
        <v>53</v>
      </c>
      <c r="B8" s="12" t="s">
        <v>48</v>
      </c>
      <c r="C8" s="12" t="s">
        <v>49</v>
      </c>
      <c r="D8" s="13" t="n">
        <v>18470</v>
      </c>
      <c r="E8" s="14" t="n">
        <v>45.09</v>
      </c>
      <c r="F8" s="15" t="n">
        <f aca="false">D8*E8</f>
        <v>832812.3</v>
      </c>
      <c r="G8" s="13" t="n">
        <v>18709</v>
      </c>
      <c r="H8" s="14" t="n">
        <v>45.43</v>
      </c>
      <c r="I8" s="15" t="n">
        <f aca="false">G8*H8</f>
        <v>849949.87</v>
      </c>
      <c r="J8" s="16"/>
      <c r="K8" s="15" t="n">
        <f aca="false">IF(F8=0,"",I8-F8)</f>
        <v>17137.57</v>
      </c>
      <c r="L8" s="17" t="n">
        <f aca="false">IFERROR(K8/F8,"")</f>
        <v>0.0205779501575564</v>
      </c>
      <c r="M8" s="18" t="n">
        <v>0.62</v>
      </c>
      <c r="N8" s="15" t="n">
        <f aca="false">F8*M8</f>
        <v>516343.626</v>
      </c>
      <c r="O8" s="18" t="n">
        <v>0.6243</v>
      </c>
      <c r="P8" s="15" t="n">
        <f aca="false">I8*O8</f>
        <v>530623.703841</v>
      </c>
    </row>
    <row r="9" customFormat="false" ht="15" hidden="false" customHeight="true" outlineLevel="0" collapsed="false">
      <c r="A9" s="12" t="s">
        <v>53</v>
      </c>
      <c r="B9" s="12" t="s">
        <v>48</v>
      </c>
      <c r="C9" s="12" t="s">
        <v>50</v>
      </c>
      <c r="D9" s="13" t="n">
        <v>30180</v>
      </c>
      <c r="E9" s="14" t="n">
        <v>28.06</v>
      </c>
      <c r="F9" s="15" t="n">
        <f aca="false">D9*E9</f>
        <v>846850.8</v>
      </c>
      <c r="G9" s="13" t="n">
        <v>29320</v>
      </c>
      <c r="H9" s="14" t="n">
        <v>27.98</v>
      </c>
      <c r="I9" s="15" t="n">
        <f aca="false">G9*H9</f>
        <v>820373.6</v>
      </c>
      <c r="J9" s="16"/>
      <c r="K9" s="15" t="n">
        <f aca="false">IF(F9=0,"",I9-F9)</f>
        <v>-26477.2</v>
      </c>
      <c r="L9" s="17" t="n">
        <f aca="false">IFERROR(K9/F9,"")</f>
        <v>-0.0312654838372945</v>
      </c>
      <c r="M9" s="18" t="n">
        <v>0.58</v>
      </c>
      <c r="N9" s="15" t="n">
        <f aca="false">F9*M9</f>
        <v>491173.464</v>
      </c>
      <c r="O9" s="18" t="n">
        <v>0.5761</v>
      </c>
      <c r="P9" s="15" t="n">
        <f aca="false">I9*O9</f>
        <v>472617.23096</v>
      </c>
    </row>
    <row r="10" customFormat="false" ht="15" hidden="false" customHeight="true" outlineLevel="0" collapsed="false">
      <c r="A10" s="12" t="s">
        <v>53</v>
      </c>
      <c r="B10" s="12" t="s">
        <v>48</v>
      </c>
      <c r="C10" s="12" t="s">
        <v>51</v>
      </c>
      <c r="D10" s="13" t="n">
        <v>15392</v>
      </c>
      <c r="E10" s="14" t="n">
        <v>55.11</v>
      </c>
      <c r="F10" s="15" t="n">
        <f aca="false">D10*E10</f>
        <v>848253.12</v>
      </c>
      <c r="G10" s="13" t="n">
        <v>15356</v>
      </c>
      <c r="H10" s="14" t="n">
        <v>55.03</v>
      </c>
      <c r="I10" s="15" t="n">
        <f aca="false">G10*H10</f>
        <v>845040.68</v>
      </c>
      <c r="J10" s="16"/>
      <c r="K10" s="15" t="n">
        <f aca="false">IF(F10=0,"",I10-F10)</f>
        <v>-3212.43999999994</v>
      </c>
      <c r="L10" s="17" t="n">
        <f aca="false">IFERROR(K10/F10,"")</f>
        <v>-0.00378712429610627</v>
      </c>
      <c r="M10" s="18" t="n">
        <v>0.68</v>
      </c>
      <c r="N10" s="15" t="n">
        <f aca="false">F10*M10</f>
        <v>576812.1216</v>
      </c>
      <c r="O10" s="18" t="n">
        <v>0.6848</v>
      </c>
      <c r="P10" s="15" t="n">
        <f aca="false">I10*O10</f>
        <v>578683.857664</v>
      </c>
    </row>
    <row r="11" customFormat="false" ht="15" hidden="false" customHeight="true" outlineLevel="0" collapsed="false">
      <c r="A11" s="12" t="s">
        <v>53</v>
      </c>
      <c r="B11" s="12" t="s">
        <v>48</v>
      </c>
      <c r="C11" s="12" t="s">
        <v>52</v>
      </c>
      <c r="D11" s="13" t="n">
        <v>11831</v>
      </c>
      <c r="E11" s="14" t="n">
        <v>38.08</v>
      </c>
      <c r="F11" s="15" t="n">
        <f aca="false">D11*E11</f>
        <v>450524.48</v>
      </c>
      <c r="G11" s="13" t="n">
        <v>11548</v>
      </c>
      <c r="H11" s="14" t="n">
        <v>38.23</v>
      </c>
      <c r="I11" s="15" t="n">
        <f aca="false">G11*H11</f>
        <v>441480.04</v>
      </c>
      <c r="J11" s="16"/>
      <c r="K11" s="15" t="n">
        <f aca="false">IF(F11=0,"",I11-F11)</f>
        <v>-9044.44</v>
      </c>
      <c r="L11" s="17" t="n">
        <f aca="false">IFERROR(K11/F11,"")</f>
        <v>-0.0200753575033259</v>
      </c>
      <c r="M11" s="18" t="n">
        <v>0.6</v>
      </c>
      <c r="N11" s="15" t="n">
        <f aca="false">F11*M11</f>
        <v>270314.688</v>
      </c>
      <c r="O11" s="18" t="n">
        <v>0.586</v>
      </c>
      <c r="P11" s="15" t="n">
        <f aca="false">I11*O11</f>
        <v>258707.30344</v>
      </c>
    </row>
    <row r="12" customFormat="false" ht="15" hidden="false" customHeight="true" outlineLevel="0" collapsed="false">
      <c r="A12" s="12" t="s">
        <v>54</v>
      </c>
      <c r="B12" s="12" t="s">
        <v>48</v>
      </c>
      <c r="C12" s="12" t="s">
        <v>49</v>
      </c>
      <c r="D12" s="13" t="n">
        <v>18762</v>
      </c>
      <c r="E12" s="14" t="n">
        <v>45.18</v>
      </c>
      <c r="F12" s="15" t="n">
        <f aca="false">D12*E12</f>
        <v>847667.16</v>
      </c>
      <c r="G12" s="13" t="n">
        <v>18674</v>
      </c>
      <c r="H12" s="14" t="n">
        <v>45.13</v>
      </c>
      <c r="I12" s="15" t="n">
        <f aca="false">G12*H12</f>
        <v>842757.62</v>
      </c>
      <c r="J12" s="16"/>
      <c r="K12" s="15" t="n">
        <f aca="false">IF(F12=0,"",I12-F12)</f>
        <v>-4909.54000000004</v>
      </c>
      <c r="L12" s="17" t="n">
        <f aca="false">IFERROR(K12/F12,"")</f>
        <v>-0.00579182517817493</v>
      </c>
      <c r="M12" s="18" t="n">
        <v>0.62</v>
      </c>
      <c r="N12" s="15" t="n">
        <f aca="false">F12*M12</f>
        <v>525553.6392</v>
      </c>
      <c r="O12" s="18" t="n">
        <v>0.6377</v>
      </c>
      <c r="P12" s="15" t="n">
        <f aca="false">I12*O12</f>
        <v>537426.534274</v>
      </c>
    </row>
    <row r="13" customFormat="false" ht="15" hidden="false" customHeight="true" outlineLevel="0" collapsed="false">
      <c r="A13" s="12" t="s">
        <v>54</v>
      </c>
      <c r="B13" s="12" t="s">
        <v>48</v>
      </c>
      <c r="C13" s="12" t="s">
        <v>50</v>
      </c>
      <c r="D13" s="13" t="n">
        <v>29095</v>
      </c>
      <c r="E13" s="14" t="n">
        <v>28.11</v>
      </c>
      <c r="F13" s="15" t="n">
        <f aca="false">D13*E13</f>
        <v>817860.45</v>
      </c>
      <c r="G13" s="13" t="n">
        <v>29160</v>
      </c>
      <c r="H13" s="14" t="n">
        <v>27.95</v>
      </c>
      <c r="I13" s="15" t="n">
        <f aca="false">G13*H13</f>
        <v>815022</v>
      </c>
      <c r="J13" s="16"/>
      <c r="K13" s="15" t="n">
        <f aca="false">IF(F13=0,"",I13-F13)</f>
        <v>-2838.44999999995</v>
      </c>
      <c r="L13" s="17" t="n">
        <f aca="false">IFERROR(K13/F13,"")</f>
        <v>-0.00347057985258971</v>
      </c>
      <c r="M13" s="18" t="n">
        <v>0.58</v>
      </c>
      <c r="N13" s="15" t="n">
        <f aca="false">F13*M13</f>
        <v>474359.061</v>
      </c>
      <c r="O13" s="18" t="n">
        <v>0.5753</v>
      </c>
      <c r="P13" s="15" t="n">
        <f aca="false">I13*O13</f>
        <v>468882.1566</v>
      </c>
    </row>
    <row r="14" customFormat="false" ht="15" hidden="false" customHeight="true" outlineLevel="0" collapsed="false">
      <c r="A14" s="12" t="s">
        <v>54</v>
      </c>
      <c r="B14" s="12" t="s">
        <v>48</v>
      </c>
      <c r="C14" s="12" t="s">
        <v>51</v>
      </c>
      <c r="D14" s="13" t="n">
        <v>15180</v>
      </c>
      <c r="E14" s="14" t="n">
        <v>55.22</v>
      </c>
      <c r="F14" s="15" t="n">
        <f aca="false">D14*E14</f>
        <v>838239.6</v>
      </c>
      <c r="G14" s="13" t="n">
        <v>14731</v>
      </c>
      <c r="H14" s="14" t="n">
        <v>55.02</v>
      </c>
      <c r="I14" s="15" t="n">
        <f aca="false">G14*H14</f>
        <v>810499.62</v>
      </c>
      <c r="J14" s="16"/>
      <c r="K14" s="15" t="n">
        <f aca="false">IF(F14=0,"",I14-F14)</f>
        <v>-27739.98</v>
      </c>
      <c r="L14" s="17" t="n">
        <f aca="false">IFERROR(K14/F14,"")</f>
        <v>-0.0330931394794519</v>
      </c>
      <c r="M14" s="18" t="n">
        <v>0.68</v>
      </c>
      <c r="N14" s="15" t="n">
        <f aca="false">F14*M14</f>
        <v>570002.928</v>
      </c>
      <c r="O14" s="18" t="n">
        <v>0.7026</v>
      </c>
      <c r="P14" s="15" t="n">
        <f aca="false">I14*O14</f>
        <v>569457.033012</v>
      </c>
    </row>
    <row r="15" customFormat="false" ht="15" hidden="false" customHeight="true" outlineLevel="0" collapsed="false">
      <c r="A15" s="12" t="s">
        <v>54</v>
      </c>
      <c r="B15" s="12" t="s">
        <v>48</v>
      </c>
      <c r="C15" s="12" t="s">
        <v>52</v>
      </c>
      <c r="D15" s="13" t="n">
        <v>11537</v>
      </c>
      <c r="E15" s="14" t="n">
        <v>38.15</v>
      </c>
      <c r="F15" s="15" t="n">
        <f aca="false">D15*E15</f>
        <v>440136.55</v>
      </c>
      <c r="G15" s="13" t="n">
        <v>11850</v>
      </c>
      <c r="H15" s="14" t="n">
        <v>38.14</v>
      </c>
      <c r="I15" s="15" t="n">
        <f aca="false">G15*H15</f>
        <v>451959</v>
      </c>
      <c r="J15" s="16"/>
      <c r="K15" s="15" t="n">
        <f aca="false">IF(F15=0,"",I15-F15)</f>
        <v>11822.45</v>
      </c>
      <c r="L15" s="17" t="n">
        <f aca="false">IFERROR(K15/F15,"")</f>
        <v>0.0268608685190994</v>
      </c>
      <c r="M15" s="18" t="n">
        <v>0.6</v>
      </c>
      <c r="N15" s="15" t="n">
        <f aca="false">F15*M15</f>
        <v>264081.93</v>
      </c>
      <c r="O15" s="18" t="n">
        <v>0.6137</v>
      </c>
      <c r="P15" s="15" t="n">
        <f aca="false">I15*O15</f>
        <v>277367.2383</v>
      </c>
    </row>
    <row r="16" customFormat="false" ht="15" hidden="false" customHeight="true" outlineLevel="0" collapsed="false">
      <c r="A16" s="12" t="s">
        <v>55</v>
      </c>
      <c r="B16" s="12" t="s">
        <v>56</v>
      </c>
      <c r="C16" s="12" t="s">
        <v>49</v>
      </c>
      <c r="D16" s="13" t="n">
        <v>17958</v>
      </c>
      <c r="E16" s="14" t="n">
        <v>45.27</v>
      </c>
      <c r="F16" s="15" t="n">
        <f aca="false">D16*E16</f>
        <v>812958.66</v>
      </c>
      <c r="G16" s="13" t="n">
        <v>18525</v>
      </c>
      <c r="H16" s="14" t="n">
        <v>45.44</v>
      </c>
      <c r="I16" s="15" t="n">
        <f aca="false">G16*H16</f>
        <v>841776</v>
      </c>
      <c r="J16" s="16"/>
      <c r="K16" s="15" t="n">
        <f aca="false">IF(F16=0,"",I16-F16)</f>
        <v>28817.34</v>
      </c>
      <c r="L16" s="17" t="n">
        <f aca="false">IFERROR(K16/F16,"")</f>
        <v>0.0354474851156638</v>
      </c>
      <c r="M16" s="18" t="n">
        <v>0.62</v>
      </c>
      <c r="N16" s="15" t="n">
        <f aca="false">F16*M16</f>
        <v>504034.3692</v>
      </c>
      <c r="O16" s="18" t="n">
        <v>0.6138</v>
      </c>
      <c r="P16" s="15" t="n">
        <f aca="false">I16*O16</f>
        <v>516682.1088</v>
      </c>
    </row>
    <row r="17" customFormat="false" ht="15" hidden="false" customHeight="true" outlineLevel="0" collapsed="false">
      <c r="A17" s="12" t="s">
        <v>55</v>
      </c>
      <c r="B17" s="12" t="s">
        <v>56</v>
      </c>
      <c r="C17" s="12" t="s">
        <v>50</v>
      </c>
      <c r="D17" s="13" t="n">
        <v>24178</v>
      </c>
      <c r="E17" s="14" t="n">
        <v>28.17</v>
      </c>
      <c r="F17" s="15" t="n">
        <f aca="false">D17*E17</f>
        <v>681094.26</v>
      </c>
      <c r="G17" s="13" t="n">
        <v>21942</v>
      </c>
      <c r="H17" s="14" t="n">
        <v>27.89</v>
      </c>
      <c r="I17" s="15" t="n">
        <f aca="false">G17*H17</f>
        <v>611962.38</v>
      </c>
      <c r="J17" s="16"/>
      <c r="K17" s="15" t="n">
        <f aca="false">IF(F17=0,"",I17-F17)</f>
        <v>-69131.88</v>
      </c>
      <c r="L17" s="17" t="n">
        <f aca="false">IFERROR(K17/F17,"")</f>
        <v>-0.101501193094771</v>
      </c>
      <c r="M17" s="18" t="n">
        <v>0.58</v>
      </c>
      <c r="N17" s="15" t="n">
        <f aca="false">F17*M17</f>
        <v>395034.6708</v>
      </c>
      <c r="O17" s="18" t="n">
        <v>0.5624</v>
      </c>
      <c r="P17" s="15" t="n">
        <f aca="false">I17*O17</f>
        <v>344167.642512</v>
      </c>
    </row>
    <row r="18" customFormat="false" ht="15" hidden="false" customHeight="true" outlineLevel="0" collapsed="false">
      <c r="A18" s="12" t="s">
        <v>55</v>
      </c>
      <c r="B18" s="12" t="s">
        <v>56</v>
      </c>
      <c r="C18" s="12" t="s">
        <v>51</v>
      </c>
      <c r="D18" s="13" t="n">
        <v>14965</v>
      </c>
      <c r="E18" s="14" t="n">
        <v>55.33</v>
      </c>
      <c r="F18" s="15" t="n">
        <f aca="false">D18*E18</f>
        <v>828013.45</v>
      </c>
      <c r="G18" s="13" t="n">
        <v>14827</v>
      </c>
      <c r="H18" s="14" t="n">
        <v>55.62</v>
      </c>
      <c r="I18" s="15" t="n">
        <f aca="false">G18*H18</f>
        <v>824677.74</v>
      </c>
      <c r="J18" s="16"/>
      <c r="K18" s="15" t="n">
        <f aca="false">IF(F18=0,"",I18-F18)</f>
        <v>-3335.70999999996</v>
      </c>
      <c r="L18" s="17" t="n">
        <f aca="false">IFERROR(K18/F18,"")</f>
        <v>-0.00402856982576788</v>
      </c>
      <c r="M18" s="18" t="n">
        <v>0.68</v>
      </c>
      <c r="N18" s="15" t="n">
        <f aca="false">F18*M18</f>
        <v>563049.146</v>
      </c>
      <c r="O18" s="18" t="n">
        <v>0.7071</v>
      </c>
      <c r="P18" s="15" t="n">
        <f aca="false">I18*O18</f>
        <v>583129.629954</v>
      </c>
    </row>
    <row r="19" customFormat="false" ht="15" hidden="false" customHeight="true" outlineLevel="0" collapsed="false">
      <c r="A19" s="12" t="s">
        <v>55</v>
      </c>
      <c r="B19" s="12" t="s">
        <v>56</v>
      </c>
      <c r="C19" s="12" t="s">
        <v>52</v>
      </c>
      <c r="D19" s="13" t="n">
        <v>10994</v>
      </c>
      <c r="E19" s="14" t="n">
        <v>38.23</v>
      </c>
      <c r="F19" s="15" t="n">
        <f aca="false">D19*E19</f>
        <v>420300.62</v>
      </c>
      <c r="G19" s="13" t="n">
        <v>10115</v>
      </c>
      <c r="H19" s="14" t="n">
        <v>37.85</v>
      </c>
      <c r="I19" s="15" t="n">
        <f aca="false">G19*H19</f>
        <v>382852.75</v>
      </c>
      <c r="J19" s="16"/>
      <c r="K19" s="15" t="n">
        <f aca="false">IF(F19=0,"",I19-F19)</f>
        <v>-37447.8699999999</v>
      </c>
      <c r="L19" s="17" t="n">
        <f aca="false">IFERROR(K19/F19,"")</f>
        <v>-0.0890978224110161</v>
      </c>
      <c r="M19" s="18" t="n">
        <v>0.6</v>
      </c>
      <c r="N19" s="15" t="n">
        <f aca="false">F19*M19</f>
        <v>252180.372</v>
      </c>
      <c r="O19" s="18" t="n">
        <v>0.634</v>
      </c>
      <c r="P19" s="15" t="n">
        <f aca="false">I19*O19</f>
        <v>242728.6435</v>
      </c>
    </row>
    <row r="20" customFormat="false" ht="15" hidden="false" customHeight="true" outlineLevel="0" collapsed="false">
      <c r="A20" s="12" t="s">
        <v>57</v>
      </c>
      <c r="B20" s="12" t="s">
        <v>56</v>
      </c>
      <c r="C20" s="12" t="s">
        <v>49</v>
      </c>
      <c r="D20" s="13" t="n">
        <v>17879</v>
      </c>
      <c r="E20" s="14" t="n">
        <v>45.36</v>
      </c>
      <c r="F20" s="15" t="n">
        <f aca="false">D20*E20</f>
        <v>810991.44</v>
      </c>
      <c r="G20" s="13" t="n">
        <v>17711</v>
      </c>
      <c r="H20" s="14" t="n">
        <v>45.48</v>
      </c>
      <c r="I20" s="15" t="n">
        <f aca="false">G20*H20</f>
        <v>805496.28</v>
      </c>
      <c r="J20" s="16"/>
      <c r="K20" s="15" t="n">
        <f aca="false">IF(F20=0,"",I20-F20)</f>
        <v>-5495.16000000003</v>
      </c>
      <c r="L20" s="17" t="n">
        <f aca="false">IFERROR(K20/F20,"")</f>
        <v>-0.00677585450223745</v>
      </c>
      <c r="M20" s="18" t="n">
        <v>0.62</v>
      </c>
      <c r="N20" s="15" t="n">
        <f aca="false">F20*M20</f>
        <v>502814.6928</v>
      </c>
      <c r="O20" s="18" t="n">
        <v>0.6103</v>
      </c>
      <c r="P20" s="15" t="n">
        <f aca="false">I20*O20</f>
        <v>491594.379684</v>
      </c>
    </row>
    <row r="21" customFormat="false" ht="15" hidden="false" customHeight="true" outlineLevel="0" collapsed="false">
      <c r="A21" s="12" t="s">
        <v>57</v>
      </c>
      <c r="B21" s="12" t="s">
        <v>56</v>
      </c>
      <c r="C21" s="12" t="s">
        <v>50</v>
      </c>
      <c r="D21" s="13" t="n">
        <v>23552</v>
      </c>
      <c r="E21" s="14" t="n">
        <v>28.22</v>
      </c>
      <c r="F21" s="15" t="n">
        <f aca="false">D21*E21</f>
        <v>664637.44</v>
      </c>
      <c r="G21" s="13" t="n">
        <v>20914</v>
      </c>
      <c r="H21" s="14" t="n">
        <v>27.94</v>
      </c>
      <c r="I21" s="15" t="n">
        <f aca="false">G21*H21</f>
        <v>584337.16</v>
      </c>
      <c r="J21" s="16"/>
      <c r="K21" s="15" t="n">
        <f aca="false">IF(F21=0,"",I21-F21)</f>
        <v>-80300.2799999999</v>
      </c>
      <c r="L21" s="17" t="n">
        <f aca="false">IFERROR(K21/F21,"")</f>
        <v>-0.120818171182171</v>
      </c>
      <c r="M21" s="18" t="n">
        <v>0.58</v>
      </c>
      <c r="N21" s="15" t="n">
        <f aca="false">F21*M21</f>
        <v>385489.7152</v>
      </c>
      <c r="O21" s="18" t="n">
        <v>0.5836</v>
      </c>
      <c r="P21" s="15" t="n">
        <f aca="false">I21*O21</f>
        <v>341019.166576</v>
      </c>
    </row>
    <row r="22" customFormat="false" ht="15" hidden="false" customHeight="true" outlineLevel="0" collapsed="false">
      <c r="A22" s="12" t="s">
        <v>57</v>
      </c>
      <c r="B22" s="12" t="s">
        <v>56</v>
      </c>
      <c r="C22" s="12" t="s">
        <v>51</v>
      </c>
      <c r="D22" s="13" t="n">
        <v>15053</v>
      </c>
      <c r="E22" s="14" t="n">
        <v>55.44</v>
      </c>
      <c r="F22" s="15" t="n">
        <f aca="false">D22*E22</f>
        <v>834538.32</v>
      </c>
      <c r="G22" s="13" t="n">
        <v>15156</v>
      </c>
      <c r="H22" s="14" t="n">
        <v>54.95</v>
      </c>
      <c r="I22" s="15" t="n">
        <f aca="false">G22*H22</f>
        <v>832822.2</v>
      </c>
      <c r="J22" s="16"/>
      <c r="K22" s="15" t="n">
        <f aca="false">IF(F22=0,"",I22-F22)</f>
        <v>-1716.11999999988</v>
      </c>
      <c r="L22" s="17" t="n">
        <f aca="false">IFERROR(K22/F22,"")</f>
        <v>-0.00205637052112823</v>
      </c>
      <c r="M22" s="18" t="n">
        <v>0.68</v>
      </c>
      <c r="N22" s="15" t="n">
        <f aca="false">F22*M22</f>
        <v>567486.0576</v>
      </c>
      <c r="O22" s="18" t="n">
        <v>0.7081</v>
      </c>
      <c r="P22" s="15" t="n">
        <f aca="false">I22*O22</f>
        <v>589721.39982</v>
      </c>
    </row>
    <row r="23" customFormat="false" ht="15" hidden="false" customHeight="true" outlineLevel="0" collapsed="false">
      <c r="A23" s="12" t="s">
        <v>57</v>
      </c>
      <c r="B23" s="12" t="s">
        <v>56</v>
      </c>
      <c r="C23" s="12" t="s">
        <v>52</v>
      </c>
      <c r="D23" s="13" t="n">
        <v>11305</v>
      </c>
      <c r="E23" s="14" t="n">
        <v>38.3</v>
      </c>
      <c r="F23" s="15" t="n">
        <f aca="false">D23*E23</f>
        <v>432981.5</v>
      </c>
      <c r="G23" s="13" t="n">
        <v>10256</v>
      </c>
      <c r="H23" s="14" t="n">
        <v>37.92</v>
      </c>
      <c r="I23" s="15" t="n">
        <f aca="false">G23*H23</f>
        <v>388907.52</v>
      </c>
      <c r="J23" s="16"/>
      <c r="K23" s="15" t="n">
        <f aca="false">IF(F23=0,"",I23-F23)</f>
        <v>-44073.9799999999</v>
      </c>
      <c r="L23" s="17" t="n">
        <f aca="false">IFERROR(K23/F23,"")</f>
        <v>-0.101791831752627</v>
      </c>
      <c r="M23" s="18" t="n">
        <v>0.6</v>
      </c>
      <c r="N23" s="15" t="n">
        <f aca="false">F23*M23</f>
        <v>259788.9</v>
      </c>
      <c r="O23" s="18" t="n">
        <v>0.6345</v>
      </c>
      <c r="P23" s="15" t="n">
        <f aca="false">I23*O23</f>
        <v>246761.82144</v>
      </c>
    </row>
    <row r="24" customFormat="false" ht="15" hidden="false" customHeight="true" outlineLevel="0" collapsed="false">
      <c r="A24" s="12" t="s">
        <v>58</v>
      </c>
      <c r="B24" s="12" t="s">
        <v>56</v>
      </c>
      <c r="C24" s="12" t="s">
        <v>49</v>
      </c>
      <c r="D24" s="13" t="n">
        <v>18540</v>
      </c>
      <c r="E24" s="14" t="n">
        <v>45.45</v>
      </c>
      <c r="F24" s="15" t="n">
        <f aca="false">D24*E24</f>
        <v>842643</v>
      </c>
      <c r="G24" s="13" t="n">
        <v>18368</v>
      </c>
      <c r="H24" s="14" t="n">
        <v>45.34</v>
      </c>
      <c r="I24" s="15" t="n">
        <f aca="false">G24*H24</f>
        <v>832805.12</v>
      </c>
      <c r="J24" s="16"/>
      <c r="K24" s="15" t="n">
        <f aca="false">IF(F24=0,"",I24-F24)</f>
        <v>-9837.87999999989</v>
      </c>
      <c r="L24" s="17" t="n">
        <f aca="false">IFERROR(K24/F24,"")</f>
        <v>-0.0116750272654017</v>
      </c>
      <c r="M24" s="18" t="n">
        <v>0.62</v>
      </c>
      <c r="N24" s="15" t="n">
        <f aca="false">F24*M24</f>
        <v>522438.66</v>
      </c>
      <c r="O24" s="18" t="n">
        <v>0.614</v>
      </c>
      <c r="P24" s="15" t="n">
        <f aca="false">I24*O24</f>
        <v>511342.34368</v>
      </c>
    </row>
    <row r="25" customFormat="false" ht="15" hidden="false" customHeight="true" outlineLevel="0" collapsed="false">
      <c r="A25" s="12" t="s">
        <v>58</v>
      </c>
      <c r="B25" s="12" t="s">
        <v>56</v>
      </c>
      <c r="C25" s="12" t="s">
        <v>50</v>
      </c>
      <c r="D25" s="13" t="n">
        <v>24462</v>
      </c>
      <c r="E25" s="14" t="n">
        <v>28.28</v>
      </c>
      <c r="F25" s="15" t="n">
        <f aca="false">D25*E25</f>
        <v>691785.36</v>
      </c>
      <c r="G25" s="13" t="n">
        <v>24319</v>
      </c>
      <c r="H25" s="14" t="n">
        <v>28.19</v>
      </c>
      <c r="I25" s="15" t="n">
        <f aca="false">G25*H25</f>
        <v>685552.61</v>
      </c>
      <c r="J25" s="16"/>
      <c r="K25" s="15" t="n">
        <f aca="false">IF(F25=0,"",I25-F25)</f>
        <v>-6232.75</v>
      </c>
      <c r="L25" s="17" t="n">
        <f aca="false">IFERROR(K25/F25,"")</f>
        <v>-0.00900965871842099</v>
      </c>
      <c r="M25" s="18" t="n">
        <v>0.58</v>
      </c>
      <c r="N25" s="15" t="n">
        <f aca="false">F25*M25</f>
        <v>401235.5088</v>
      </c>
      <c r="O25" s="18" t="n">
        <v>0.5831</v>
      </c>
      <c r="P25" s="15" t="n">
        <f aca="false">I25*O25</f>
        <v>399745.726891</v>
      </c>
    </row>
    <row r="26" customFormat="false" ht="15" hidden="false" customHeight="true" outlineLevel="0" collapsed="false">
      <c r="A26" s="12" t="s">
        <v>58</v>
      </c>
      <c r="B26" s="12" t="s">
        <v>56</v>
      </c>
      <c r="C26" s="12" t="s">
        <v>51</v>
      </c>
      <c r="D26" s="13" t="n">
        <v>15450</v>
      </c>
      <c r="E26" s="14" t="n">
        <v>55.55</v>
      </c>
      <c r="F26" s="15" t="n">
        <f aca="false">D26*E26</f>
        <v>858247.5</v>
      </c>
      <c r="G26" s="13" t="n">
        <v>15550</v>
      </c>
      <c r="H26" s="14" t="n">
        <v>55.44</v>
      </c>
      <c r="I26" s="15" t="n">
        <f aca="false">G26*H26</f>
        <v>862092</v>
      </c>
      <c r="J26" s="16"/>
      <c r="K26" s="15" t="n">
        <f aca="false">IF(F26=0,"",I26-F26)</f>
        <v>3844.5</v>
      </c>
      <c r="L26" s="17" t="n">
        <f aca="false">IFERROR(K26/F26,"")</f>
        <v>0.00447947707392099</v>
      </c>
      <c r="M26" s="18" t="n">
        <v>0.68</v>
      </c>
      <c r="N26" s="15" t="n">
        <f aca="false">F26*M26</f>
        <v>583608.3</v>
      </c>
      <c r="O26" s="18" t="n">
        <v>0.6791</v>
      </c>
      <c r="P26" s="15" t="n">
        <f aca="false">I26*O26</f>
        <v>585446.6772</v>
      </c>
    </row>
    <row r="27" customFormat="false" ht="15" hidden="false" customHeight="true" outlineLevel="0" collapsed="false">
      <c r="A27" s="12" t="s">
        <v>58</v>
      </c>
      <c r="B27" s="12" t="s">
        <v>56</v>
      </c>
      <c r="C27" s="12" t="s">
        <v>52</v>
      </c>
      <c r="D27" s="13" t="n">
        <v>11742</v>
      </c>
      <c r="E27" s="14" t="n">
        <v>38.38</v>
      </c>
      <c r="F27" s="15" t="n">
        <f aca="false">D27*E27</f>
        <v>450657.96</v>
      </c>
      <c r="G27" s="13" t="n">
        <v>11591</v>
      </c>
      <c r="H27" s="14" t="n">
        <v>38.45</v>
      </c>
      <c r="I27" s="15" t="n">
        <f aca="false">G27*H27</f>
        <v>445673.95</v>
      </c>
      <c r="J27" s="16"/>
      <c r="K27" s="15" t="n">
        <f aca="false">IF(F27=0,"",I27-F27)</f>
        <v>-4984.01000000001</v>
      </c>
      <c r="L27" s="17" t="n">
        <f aca="false">IFERROR(K27/F27,"")</f>
        <v>-0.011059407449499</v>
      </c>
      <c r="M27" s="18" t="n">
        <v>0.6</v>
      </c>
      <c r="N27" s="15" t="n">
        <f aca="false">F27*M27</f>
        <v>270394.776</v>
      </c>
      <c r="O27" s="18" t="n">
        <v>0.5891</v>
      </c>
      <c r="P27" s="15" t="n">
        <f aca="false">I27*O27</f>
        <v>262546.523945</v>
      </c>
    </row>
    <row r="28" customFormat="false" ht="15" hidden="false" customHeight="true" outlineLevel="0" collapsed="false">
      <c r="A28" s="12" t="s">
        <v>59</v>
      </c>
      <c r="B28" s="12" t="s">
        <v>60</v>
      </c>
      <c r="C28" s="12" t="s">
        <v>49</v>
      </c>
      <c r="D28" s="13" t="n">
        <v>22751</v>
      </c>
      <c r="E28" s="14" t="n">
        <v>45.54</v>
      </c>
      <c r="F28" s="15" t="n">
        <f aca="false">D28*E28</f>
        <v>1036080.54</v>
      </c>
      <c r="G28" s="13" t="n">
        <v>24226</v>
      </c>
      <c r="H28" s="14" t="n">
        <v>46</v>
      </c>
      <c r="I28" s="15" t="n">
        <f aca="false">G28*H28</f>
        <v>1114396</v>
      </c>
      <c r="J28" s="16"/>
      <c r="K28" s="15" t="n">
        <f aca="false">IF(F28=0,"",I28-F28)</f>
        <v>78315.46</v>
      </c>
      <c r="L28" s="17" t="n">
        <f aca="false">IFERROR(K28/F28,"")</f>
        <v>0.0755881970334082</v>
      </c>
      <c r="M28" s="18" t="n">
        <v>0.62</v>
      </c>
      <c r="N28" s="15" t="n">
        <f aca="false">F28*M28</f>
        <v>642369.9348</v>
      </c>
      <c r="O28" s="18" t="n">
        <v>0.631</v>
      </c>
      <c r="P28" s="15" t="n">
        <f aca="false">I28*O28</f>
        <v>703183.876</v>
      </c>
    </row>
    <row r="29" customFormat="false" ht="15" hidden="false" customHeight="true" outlineLevel="0" collapsed="false">
      <c r="A29" s="12" t="s">
        <v>59</v>
      </c>
      <c r="B29" s="12" t="s">
        <v>60</v>
      </c>
      <c r="C29" s="12" t="s">
        <v>50</v>
      </c>
      <c r="D29" s="13" t="n">
        <v>27195</v>
      </c>
      <c r="E29" s="14" t="n">
        <v>28.34</v>
      </c>
      <c r="F29" s="15" t="n">
        <f aca="false">D29*E29</f>
        <v>770706.3</v>
      </c>
      <c r="G29" s="13" t="n">
        <v>29834</v>
      </c>
      <c r="H29" s="14" t="n">
        <v>28.62</v>
      </c>
      <c r="I29" s="15" t="n">
        <f aca="false">G29*H29</f>
        <v>853849.08</v>
      </c>
      <c r="J29" s="16"/>
      <c r="K29" s="15" t="n">
        <f aca="false">IF(F29=0,"",I29-F29)</f>
        <v>83142.78</v>
      </c>
      <c r="L29" s="17" t="n">
        <f aca="false">IFERROR(K29/F29,"")</f>
        <v>0.107878682190609</v>
      </c>
      <c r="M29" s="18" t="n">
        <v>0.58</v>
      </c>
      <c r="N29" s="15" t="n">
        <f aca="false">F29*M29</f>
        <v>447009.654</v>
      </c>
      <c r="O29" s="18" t="n">
        <v>0.5801</v>
      </c>
      <c r="P29" s="15" t="n">
        <f aca="false">I29*O29</f>
        <v>495317.851308</v>
      </c>
    </row>
    <row r="30" customFormat="false" ht="15" hidden="false" customHeight="true" outlineLevel="0" collapsed="false">
      <c r="A30" s="12" t="s">
        <v>59</v>
      </c>
      <c r="B30" s="12" t="s">
        <v>60</v>
      </c>
      <c r="C30" s="12" t="s">
        <v>51</v>
      </c>
      <c r="D30" s="13" t="n">
        <v>17094</v>
      </c>
      <c r="E30" s="14" t="n">
        <v>55.66</v>
      </c>
      <c r="F30" s="15" t="n">
        <f aca="false">D30*E30</f>
        <v>951452.04</v>
      </c>
      <c r="G30" s="13" t="n">
        <v>17888</v>
      </c>
      <c r="H30" s="14" t="n">
        <v>56.22</v>
      </c>
      <c r="I30" s="15" t="n">
        <f aca="false">G30*H30</f>
        <v>1005663.36</v>
      </c>
      <c r="J30" s="16"/>
      <c r="K30" s="15" t="n">
        <f aca="false">IF(F30=0,"",I30-F30)</f>
        <v>54211.3200000001</v>
      </c>
      <c r="L30" s="17" t="n">
        <f aca="false">IFERROR(K30/F30,"")</f>
        <v>0.0569774594208659</v>
      </c>
      <c r="M30" s="18" t="n">
        <v>0.68</v>
      </c>
      <c r="N30" s="15" t="n">
        <f aca="false">F30*M30</f>
        <v>646987.3872</v>
      </c>
      <c r="O30" s="18" t="n">
        <v>0.657</v>
      </c>
      <c r="P30" s="15" t="n">
        <f aca="false">I30*O30</f>
        <v>660720.82752</v>
      </c>
    </row>
    <row r="31" customFormat="false" ht="15" hidden="false" customHeight="true" outlineLevel="0" collapsed="false">
      <c r="A31" s="12" t="s">
        <v>59</v>
      </c>
      <c r="B31" s="12" t="s">
        <v>60</v>
      </c>
      <c r="C31" s="12" t="s">
        <v>52</v>
      </c>
      <c r="D31" s="13" t="n">
        <v>14297</v>
      </c>
      <c r="E31" s="14" t="n">
        <v>38.46</v>
      </c>
      <c r="F31" s="15" t="n">
        <f aca="false">D31*E31</f>
        <v>549862.62</v>
      </c>
      <c r="G31" s="13" t="n">
        <v>15595</v>
      </c>
      <c r="H31" s="14" t="n">
        <v>38.84</v>
      </c>
      <c r="I31" s="15" t="n">
        <f aca="false">G31*H31</f>
        <v>605709.8</v>
      </c>
      <c r="J31" s="16"/>
      <c r="K31" s="15" t="n">
        <f aca="false">IF(F31=0,"",I31-F31)</f>
        <v>55847.1800000001</v>
      </c>
      <c r="L31" s="17" t="n">
        <f aca="false">IFERROR(K31/F31,"")</f>
        <v>0.101565696537073</v>
      </c>
      <c r="M31" s="18" t="n">
        <v>0.6</v>
      </c>
      <c r="N31" s="15" t="n">
        <f aca="false">F31*M31</f>
        <v>329917.572</v>
      </c>
      <c r="O31" s="18" t="n">
        <v>0.6168</v>
      </c>
      <c r="P31" s="15" t="n">
        <f aca="false">I31*O31</f>
        <v>373601.80464</v>
      </c>
    </row>
    <row r="32" customFormat="false" ht="15" hidden="false" customHeight="true" outlineLevel="0" collapsed="false">
      <c r="A32" s="12" t="s">
        <v>61</v>
      </c>
      <c r="B32" s="12" t="s">
        <v>60</v>
      </c>
      <c r="C32" s="12" t="s">
        <v>49</v>
      </c>
      <c r="D32" s="13" t="n">
        <v>24383</v>
      </c>
      <c r="E32" s="14" t="n">
        <v>45.63</v>
      </c>
      <c r="F32" s="15" t="n">
        <f aca="false">D32*E32</f>
        <v>1112596.29</v>
      </c>
      <c r="G32" s="13" t="n">
        <v>24913</v>
      </c>
      <c r="H32" s="14" t="n">
        <v>46.09</v>
      </c>
      <c r="I32" s="15" t="n">
        <f aca="false">G32*H32</f>
        <v>1148240.17</v>
      </c>
      <c r="J32" s="16"/>
      <c r="K32" s="15" t="n">
        <f aca="false">IF(F32=0,"",I32-F32)</f>
        <v>35643.8800000001</v>
      </c>
      <c r="L32" s="17" t="n">
        <f aca="false">IFERROR(K32/F32,"")</f>
        <v>0.0320366698328646</v>
      </c>
      <c r="M32" s="18" t="n">
        <v>0.62</v>
      </c>
      <c r="N32" s="15" t="n">
        <f aca="false">F32*M32</f>
        <v>689809.6998</v>
      </c>
      <c r="O32" s="18" t="n">
        <v>0.6239</v>
      </c>
      <c r="P32" s="15" t="n">
        <f aca="false">I32*O32</f>
        <v>716387.042063</v>
      </c>
    </row>
    <row r="33" customFormat="false" ht="15" hidden="false" customHeight="true" outlineLevel="0" collapsed="false">
      <c r="A33" s="12" t="s">
        <v>61</v>
      </c>
      <c r="B33" s="12" t="s">
        <v>60</v>
      </c>
      <c r="C33" s="12" t="s">
        <v>50</v>
      </c>
      <c r="D33" s="13" t="n">
        <v>26050</v>
      </c>
      <c r="E33" s="14" t="n">
        <v>28.39</v>
      </c>
      <c r="F33" s="15" t="n">
        <f aca="false">D33*E33</f>
        <v>739559.5</v>
      </c>
      <c r="G33" s="13" t="n">
        <v>27606</v>
      </c>
      <c r="H33" s="14" t="n">
        <v>28.67</v>
      </c>
      <c r="I33" s="15" t="n">
        <f aca="false">G33*H33</f>
        <v>791464.02</v>
      </c>
      <c r="J33" s="16"/>
      <c r="K33" s="15" t="n">
        <f aca="false">IF(F33=0,"",I33-F33)</f>
        <v>51904.52</v>
      </c>
      <c r="L33" s="17" t="n">
        <f aca="false">IFERROR(K33/F33,"")</f>
        <v>0.0701830211091873</v>
      </c>
      <c r="M33" s="18" t="n">
        <v>0.58</v>
      </c>
      <c r="N33" s="15" t="n">
        <f aca="false">F33*M33</f>
        <v>428944.51</v>
      </c>
      <c r="O33" s="18" t="n">
        <v>0.5772</v>
      </c>
      <c r="P33" s="15" t="n">
        <f aca="false">I33*O33</f>
        <v>456833.032344</v>
      </c>
    </row>
    <row r="34" customFormat="false" ht="15" hidden="false" customHeight="true" outlineLevel="0" collapsed="false">
      <c r="A34" s="12" t="s">
        <v>61</v>
      </c>
      <c r="B34" s="12" t="s">
        <v>60</v>
      </c>
      <c r="C34" s="12" t="s">
        <v>51</v>
      </c>
      <c r="D34" s="13" t="n">
        <v>17974</v>
      </c>
      <c r="E34" s="14" t="n">
        <v>55.77</v>
      </c>
      <c r="F34" s="15" t="n">
        <f aca="false">D34*E34</f>
        <v>1002409.98</v>
      </c>
      <c r="G34" s="13" t="n">
        <v>19272</v>
      </c>
      <c r="H34" s="14" t="n">
        <v>56.33</v>
      </c>
      <c r="I34" s="15" t="n">
        <f aca="false">G34*H34</f>
        <v>1085591.76</v>
      </c>
      <c r="J34" s="16"/>
      <c r="K34" s="15" t="n">
        <f aca="false">IF(F34=0,"",I34-F34)</f>
        <v>83181.7799999999</v>
      </c>
      <c r="L34" s="17" t="n">
        <f aca="false">IFERROR(K34/F34,"")</f>
        <v>0.0829817955324027</v>
      </c>
      <c r="M34" s="18" t="n">
        <v>0.68</v>
      </c>
      <c r="N34" s="15" t="n">
        <f aca="false">F34*M34</f>
        <v>681638.7864</v>
      </c>
      <c r="O34" s="18" t="n">
        <v>0.6797</v>
      </c>
      <c r="P34" s="15" t="n">
        <f aca="false">I34*O34</f>
        <v>737876.719272</v>
      </c>
    </row>
    <row r="35" customFormat="false" ht="15" hidden="false" customHeight="true" outlineLevel="0" collapsed="false">
      <c r="A35" s="12" t="s">
        <v>61</v>
      </c>
      <c r="B35" s="12" t="s">
        <v>60</v>
      </c>
      <c r="C35" s="12" t="s">
        <v>52</v>
      </c>
      <c r="D35" s="13" t="n">
        <v>15630</v>
      </c>
      <c r="E35" s="14" t="n">
        <v>38.53</v>
      </c>
      <c r="F35" s="15" t="n">
        <f aca="false">D35*E35</f>
        <v>602223.9</v>
      </c>
      <c r="G35" s="13" t="n">
        <v>16557</v>
      </c>
      <c r="H35" s="14" t="n">
        <v>38.92</v>
      </c>
      <c r="I35" s="15" t="n">
        <f aca="false">G35*H35</f>
        <v>644398.44</v>
      </c>
      <c r="J35" s="16"/>
      <c r="K35" s="15" t="n">
        <f aca="false">IF(F35=0,"",I35-F35)</f>
        <v>42174.54</v>
      </c>
      <c r="L35" s="17" t="n">
        <f aca="false">IFERROR(K35/F35,"")</f>
        <v>0.0700313288795082</v>
      </c>
      <c r="M35" s="18" t="n">
        <v>0.6</v>
      </c>
      <c r="N35" s="15" t="n">
        <f aca="false">F35*M35</f>
        <v>361334.34</v>
      </c>
      <c r="O35" s="18" t="n">
        <v>0.5832</v>
      </c>
      <c r="P35" s="15" t="n">
        <f aca="false">I35*O35</f>
        <v>375813.170208</v>
      </c>
    </row>
    <row r="36" customFormat="false" ht="15" hidden="false" customHeight="true" outlineLevel="0" collapsed="false">
      <c r="A36" s="12" t="s">
        <v>62</v>
      </c>
      <c r="B36" s="12" t="s">
        <v>60</v>
      </c>
      <c r="C36" s="12" t="s">
        <v>49</v>
      </c>
      <c r="D36" s="13" t="n">
        <v>20373</v>
      </c>
      <c r="E36" s="14" t="n">
        <v>45.72</v>
      </c>
      <c r="F36" s="15" t="n">
        <f aca="false">D36*E36</f>
        <v>931453.56</v>
      </c>
      <c r="G36" s="13" t="n">
        <v>19670</v>
      </c>
      <c r="H36" s="14" t="n">
        <v>45.59</v>
      </c>
      <c r="I36" s="15" t="n">
        <f aca="false">G36*H36</f>
        <v>896755.3</v>
      </c>
      <c r="J36" s="16"/>
      <c r="K36" s="15" t="n">
        <f aca="false">IF(F36=0,"",I36-F36)</f>
        <v>-34698.2599999999</v>
      </c>
      <c r="L36" s="17" t="n">
        <f aca="false">IFERROR(K36/F36,"")</f>
        <v>-0.0372517337310943</v>
      </c>
      <c r="M36" s="18" t="n">
        <v>0.62</v>
      </c>
      <c r="N36" s="15" t="n">
        <f aca="false">F36*M36</f>
        <v>577501.2072</v>
      </c>
      <c r="O36" s="18" t="n">
        <v>0.6136</v>
      </c>
      <c r="P36" s="15" t="n">
        <f aca="false">I36*O36</f>
        <v>550249.05208</v>
      </c>
    </row>
    <row r="37" customFormat="false" ht="15" hidden="false" customHeight="true" outlineLevel="0" collapsed="false">
      <c r="A37" s="12" t="s">
        <v>62</v>
      </c>
      <c r="B37" s="12" t="s">
        <v>60</v>
      </c>
      <c r="C37" s="12" t="s">
        <v>50</v>
      </c>
      <c r="D37" s="13" t="n">
        <v>24890</v>
      </c>
      <c r="E37" s="14" t="n">
        <v>28.45</v>
      </c>
      <c r="F37" s="15" t="n">
        <f aca="false">D37*E37</f>
        <v>708120.5</v>
      </c>
      <c r="G37" s="13" t="n">
        <v>24363</v>
      </c>
      <c r="H37" s="14" t="n">
        <v>28.57</v>
      </c>
      <c r="I37" s="15" t="n">
        <f aca="false">G37*H37</f>
        <v>696050.91</v>
      </c>
      <c r="J37" s="16"/>
      <c r="K37" s="15" t="n">
        <f aca="false">IF(F37=0,"",I37-F37)</f>
        <v>-12069.59</v>
      </c>
      <c r="L37" s="17" t="n">
        <f aca="false">IFERROR(K37/F37,"")</f>
        <v>-0.0170445425601998</v>
      </c>
      <c r="M37" s="18" t="n">
        <v>0.58</v>
      </c>
      <c r="N37" s="15" t="n">
        <f aca="false">F37*M37</f>
        <v>410709.89</v>
      </c>
      <c r="O37" s="18" t="n">
        <v>0.563</v>
      </c>
      <c r="P37" s="15" t="n">
        <f aca="false">I37*O37</f>
        <v>391876.66233</v>
      </c>
    </row>
    <row r="38" customFormat="false" ht="15" hidden="false" customHeight="true" outlineLevel="0" collapsed="false">
      <c r="A38" s="12" t="s">
        <v>62</v>
      </c>
      <c r="B38" s="12" t="s">
        <v>60</v>
      </c>
      <c r="C38" s="12" t="s">
        <v>51</v>
      </c>
      <c r="D38" s="13" t="n">
        <v>16506</v>
      </c>
      <c r="E38" s="14" t="n">
        <v>55.88</v>
      </c>
      <c r="F38" s="15" t="n">
        <f aca="false">D38*E38</f>
        <v>922355.28</v>
      </c>
      <c r="G38" s="13" t="n">
        <v>16846</v>
      </c>
      <c r="H38" s="14" t="n">
        <v>56.14</v>
      </c>
      <c r="I38" s="15" t="n">
        <f aca="false">G38*H38</f>
        <v>945734.44</v>
      </c>
      <c r="J38" s="16"/>
      <c r="K38" s="15" t="n">
        <f aca="false">IF(F38=0,"",I38-F38)</f>
        <v>23379.16</v>
      </c>
      <c r="L38" s="17" t="n">
        <f aca="false">IFERROR(K38/F38,"")</f>
        <v>0.0253472392980718</v>
      </c>
      <c r="M38" s="18" t="n">
        <v>0.68</v>
      </c>
      <c r="N38" s="15" t="n">
        <f aca="false">F38*M38</f>
        <v>627201.5904</v>
      </c>
      <c r="O38" s="18" t="n">
        <v>0.6807</v>
      </c>
      <c r="P38" s="15" t="n">
        <f aca="false">I38*O38</f>
        <v>643761.433308</v>
      </c>
    </row>
    <row r="39" customFormat="false" ht="15" hidden="false" customHeight="true" outlineLevel="0" collapsed="false">
      <c r="A39" s="12" t="s">
        <v>62</v>
      </c>
      <c r="B39" s="12" t="s">
        <v>60</v>
      </c>
      <c r="C39" s="12" t="s">
        <v>52</v>
      </c>
      <c r="D39" s="13" t="n">
        <v>15091</v>
      </c>
      <c r="E39" s="14" t="n">
        <v>38.61</v>
      </c>
      <c r="F39" s="15" t="n">
        <f aca="false">D39*E39</f>
        <v>582663.51</v>
      </c>
      <c r="G39" s="13" t="n">
        <v>15563</v>
      </c>
      <c r="H39" s="14" t="n">
        <v>38.1</v>
      </c>
      <c r="I39" s="15" t="n">
        <f aca="false">G39*H39</f>
        <v>592950.3</v>
      </c>
      <c r="J39" s="16"/>
      <c r="K39" s="15" t="n">
        <f aca="false">IF(F39=0,"",I39-F39)</f>
        <v>10286.79</v>
      </c>
      <c r="L39" s="17" t="n">
        <f aca="false">IFERROR(K39/F39,"")</f>
        <v>0.0176547695598786</v>
      </c>
      <c r="M39" s="18" t="n">
        <v>0.6</v>
      </c>
      <c r="N39" s="15" t="n">
        <f aca="false">F39*M39</f>
        <v>349598.106</v>
      </c>
      <c r="O39" s="18" t="n">
        <v>0.607</v>
      </c>
      <c r="P39" s="15" t="n">
        <f aca="false">I39*O39</f>
        <v>359920.8321</v>
      </c>
    </row>
    <row r="40" customFormat="false" ht="15" hidden="false" customHeight="true" outlineLevel="0" collapsed="false">
      <c r="A40" s="12" t="s">
        <v>63</v>
      </c>
      <c r="B40" s="12" t="s">
        <v>64</v>
      </c>
      <c r="C40" s="12" t="s">
        <v>49</v>
      </c>
      <c r="D40" s="13" t="n">
        <v>17454</v>
      </c>
      <c r="E40" s="14" t="n">
        <v>45.81</v>
      </c>
      <c r="F40" s="15" t="n">
        <f aca="false">D40*E40</f>
        <v>799567.74</v>
      </c>
      <c r="G40" s="13" t="n">
        <v>15530</v>
      </c>
      <c r="H40" s="14" t="n">
        <v>45.58</v>
      </c>
      <c r="I40" s="15" t="n">
        <f aca="false">G40*H40</f>
        <v>707857.4</v>
      </c>
      <c r="J40" s="16"/>
      <c r="K40" s="15" t="n">
        <f aca="false">IF(F40=0,"",I40-F40)</f>
        <v>-91710.34</v>
      </c>
      <c r="L40" s="17" t="n">
        <f aca="false">IFERROR(K40/F40,"")</f>
        <v>-0.114699900223588</v>
      </c>
      <c r="M40" s="18" t="n">
        <v>0.62</v>
      </c>
      <c r="N40" s="15" t="n">
        <f aca="false">F40*M40</f>
        <v>495731.9988</v>
      </c>
      <c r="O40" s="18" t="n">
        <v>0.6262</v>
      </c>
      <c r="P40" s="15" t="n">
        <f aca="false">I40*O40</f>
        <v>443260.30388</v>
      </c>
    </row>
    <row r="41" customFormat="false" ht="15" hidden="false" customHeight="true" outlineLevel="0" collapsed="false">
      <c r="A41" s="12" t="s">
        <v>63</v>
      </c>
      <c r="B41" s="12" t="s">
        <v>64</v>
      </c>
      <c r="C41" s="12" t="s">
        <v>50</v>
      </c>
      <c r="D41" s="13" t="n">
        <v>22398</v>
      </c>
      <c r="E41" s="14" t="n">
        <v>28.5</v>
      </c>
      <c r="F41" s="15" t="n">
        <f aca="false">D41*E41</f>
        <v>638343</v>
      </c>
      <c r="G41" s="13" t="n">
        <v>19835</v>
      </c>
      <c r="H41" s="14" t="n">
        <v>28.36</v>
      </c>
      <c r="I41" s="15" t="n">
        <f aca="false">G41*H41</f>
        <v>562520.6</v>
      </c>
      <c r="J41" s="16"/>
      <c r="K41" s="15" t="n">
        <f aca="false">IF(F41=0,"",I41-F41)</f>
        <v>-75822.4</v>
      </c>
      <c r="L41" s="17" t="n">
        <f aca="false">IFERROR(K41/F41,"")</f>
        <v>-0.118780028918622</v>
      </c>
      <c r="M41" s="18" t="n">
        <v>0.58</v>
      </c>
      <c r="N41" s="15" t="n">
        <f aca="false">F41*M41</f>
        <v>370238.94</v>
      </c>
      <c r="O41" s="18" t="n">
        <v>0.575</v>
      </c>
      <c r="P41" s="15" t="n">
        <f aca="false">I41*O41</f>
        <v>323449.345</v>
      </c>
    </row>
    <row r="42" customFormat="false" ht="15" hidden="false" customHeight="true" outlineLevel="0" collapsed="false">
      <c r="A42" s="12" t="s">
        <v>63</v>
      </c>
      <c r="B42" s="12" t="s">
        <v>64</v>
      </c>
      <c r="C42" s="12" t="s">
        <v>51</v>
      </c>
      <c r="D42" s="13" t="n">
        <v>15494</v>
      </c>
      <c r="E42" s="14" t="n">
        <v>55.99</v>
      </c>
      <c r="F42" s="15" t="n">
        <f aca="false">D42*E42</f>
        <v>867509.06</v>
      </c>
      <c r="G42" s="13" t="n">
        <v>13839</v>
      </c>
      <c r="H42" s="14" t="n">
        <v>55.71</v>
      </c>
      <c r="I42" s="15" t="n">
        <f aca="false">G42*H42</f>
        <v>770970.69</v>
      </c>
      <c r="J42" s="16"/>
      <c r="K42" s="15" t="n">
        <f aca="false">IF(F42=0,"",I42-F42)</f>
        <v>-96538.37</v>
      </c>
      <c r="L42" s="17" t="n">
        <f aca="false">IFERROR(K42/F42,"")</f>
        <v>-0.111282261420993</v>
      </c>
      <c r="M42" s="18" t="n">
        <v>0.68</v>
      </c>
      <c r="N42" s="15" t="n">
        <f aca="false">F42*M42</f>
        <v>589906.1608</v>
      </c>
      <c r="O42" s="18" t="n">
        <v>0.7096</v>
      </c>
      <c r="P42" s="15" t="n">
        <f aca="false">I42*O42</f>
        <v>547080.801624</v>
      </c>
    </row>
    <row r="43" customFormat="false" ht="15" hidden="false" customHeight="true" outlineLevel="0" collapsed="false">
      <c r="A43" s="12" t="s">
        <v>63</v>
      </c>
      <c r="B43" s="12" t="s">
        <v>64</v>
      </c>
      <c r="C43" s="12" t="s">
        <v>52</v>
      </c>
      <c r="D43" s="13" t="n">
        <v>12016</v>
      </c>
      <c r="E43" s="14" t="n">
        <v>38.68</v>
      </c>
      <c r="F43" s="15" t="n">
        <f aca="false">D43*E43</f>
        <v>464778.88</v>
      </c>
      <c r="G43" s="13" t="n">
        <v>11132</v>
      </c>
      <c r="H43" s="14" t="n">
        <v>38.49</v>
      </c>
      <c r="I43" s="15" t="n">
        <f aca="false">G43*H43</f>
        <v>428470.68</v>
      </c>
      <c r="J43" s="16"/>
      <c r="K43" s="15" t="n">
        <f aca="false">IF(F43=0,"",I43-F43)</f>
        <v>-36308.2</v>
      </c>
      <c r="L43" s="17" t="n">
        <f aca="false">IFERROR(K43/F43,"")</f>
        <v>-0.0781192983639875</v>
      </c>
      <c r="M43" s="18" t="n">
        <v>0.6</v>
      </c>
      <c r="N43" s="15" t="n">
        <f aca="false">F43*M43</f>
        <v>278867.328</v>
      </c>
      <c r="O43" s="18" t="n">
        <v>0.6263</v>
      </c>
      <c r="P43" s="15" t="n">
        <f aca="false">I43*O43</f>
        <v>268351.186884</v>
      </c>
    </row>
    <row r="44" customFormat="false" ht="15" hidden="false" customHeight="true" outlineLevel="0" collapsed="false">
      <c r="A44" s="12" t="s">
        <v>65</v>
      </c>
      <c r="B44" s="12" t="s">
        <v>64</v>
      </c>
      <c r="C44" s="12" t="s">
        <v>49</v>
      </c>
      <c r="D44" s="13" t="n">
        <v>18126</v>
      </c>
      <c r="E44" s="14" t="n">
        <v>45.9</v>
      </c>
      <c r="F44" s="15" t="n">
        <f aca="false">D44*E44</f>
        <v>831983.4</v>
      </c>
      <c r="G44" s="13" t="n">
        <v>18240</v>
      </c>
      <c r="H44" s="14" t="n">
        <v>45.69</v>
      </c>
      <c r="I44" s="15" t="n">
        <f aca="false">G44*H44</f>
        <v>833385.6</v>
      </c>
      <c r="J44" s="16"/>
      <c r="K44" s="15" t="n">
        <f aca="false">IF(F44=0,"",I44-F44)</f>
        <v>1402.19999999995</v>
      </c>
      <c r="L44" s="17" t="n">
        <f aca="false">IFERROR(K44/F44,"")</f>
        <v>0.00168537016483737</v>
      </c>
      <c r="M44" s="18" t="n">
        <v>0.62</v>
      </c>
      <c r="N44" s="15" t="n">
        <f aca="false">F44*M44</f>
        <v>515829.708</v>
      </c>
      <c r="O44" s="18" t="n">
        <v>0.6212</v>
      </c>
      <c r="P44" s="15" t="n">
        <f aca="false">I44*O44</f>
        <v>517699.13472</v>
      </c>
    </row>
    <row r="45" customFormat="false" ht="15" hidden="false" customHeight="true" outlineLevel="0" collapsed="false">
      <c r="A45" s="12" t="s">
        <v>65</v>
      </c>
      <c r="B45" s="12" t="s">
        <v>64</v>
      </c>
      <c r="C45" s="12" t="s">
        <v>50</v>
      </c>
      <c r="D45" s="13" t="n">
        <v>23850</v>
      </c>
      <c r="E45" s="14" t="n">
        <v>28.56</v>
      </c>
      <c r="F45" s="15" t="n">
        <f aca="false">D45*E45</f>
        <v>681156</v>
      </c>
      <c r="G45" s="13" t="n">
        <v>23950</v>
      </c>
      <c r="H45" s="14" t="n">
        <v>28.28</v>
      </c>
      <c r="I45" s="15" t="n">
        <f aca="false">G45*H45</f>
        <v>677306</v>
      </c>
      <c r="J45" s="16"/>
      <c r="K45" s="15" t="n">
        <f aca="false">IF(F45=0,"",I45-F45)</f>
        <v>-3850</v>
      </c>
      <c r="L45" s="17" t="n">
        <f aca="false">IFERROR(K45/F45,"")</f>
        <v>-0.00565215604061331</v>
      </c>
      <c r="M45" s="18" t="n">
        <v>0.58</v>
      </c>
      <c r="N45" s="15" t="n">
        <f aca="false">F45*M45</f>
        <v>395070.48</v>
      </c>
      <c r="O45" s="18" t="n">
        <v>0.5759</v>
      </c>
      <c r="P45" s="15" t="n">
        <f aca="false">I45*O45</f>
        <v>390060.5254</v>
      </c>
    </row>
    <row r="46" customFormat="false" ht="15" hidden="false" customHeight="true" outlineLevel="0" collapsed="false">
      <c r="A46" s="12" t="s">
        <v>65</v>
      </c>
      <c r="B46" s="12" t="s">
        <v>64</v>
      </c>
      <c r="C46" s="12" t="s">
        <v>51</v>
      </c>
      <c r="D46" s="13" t="n">
        <v>15423</v>
      </c>
      <c r="E46" s="14" t="n">
        <v>56.1</v>
      </c>
      <c r="F46" s="15" t="n">
        <f aca="false">D46*E46</f>
        <v>865230.3</v>
      </c>
      <c r="G46" s="13" t="n">
        <v>15328</v>
      </c>
      <c r="H46" s="14" t="n">
        <v>56.19</v>
      </c>
      <c r="I46" s="15" t="n">
        <f aca="false">G46*H46</f>
        <v>861280.32</v>
      </c>
      <c r="J46" s="16"/>
      <c r="K46" s="15" t="n">
        <f aca="false">IF(F46=0,"",I46-F46)</f>
        <v>-3949.9800000001</v>
      </c>
      <c r="L46" s="17" t="n">
        <f aca="false">IFERROR(K46/F46,"")</f>
        <v>-0.00456523540611106</v>
      </c>
      <c r="M46" s="18" t="n">
        <v>0.68</v>
      </c>
      <c r="N46" s="15" t="n">
        <f aca="false">F46*M46</f>
        <v>588356.604</v>
      </c>
      <c r="O46" s="18" t="n">
        <v>0.6777</v>
      </c>
      <c r="P46" s="15" t="n">
        <f aca="false">I46*O46</f>
        <v>583689.672864</v>
      </c>
    </row>
    <row r="47" customFormat="false" ht="15" hidden="false" customHeight="true" outlineLevel="0" collapsed="false">
      <c r="A47" s="12" t="s">
        <v>65</v>
      </c>
      <c r="B47" s="12" t="s">
        <v>64</v>
      </c>
      <c r="C47" s="12" t="s">
        <v>52</v>
      </c>
      <c r="D47" s="13" t="n">
        <v>11830</v>
      </c>
      <c r="E47" s="14" t="n">
        <v>38.76</v>
      </c>
      <c r="F47" s="15" t="n">
        <f aca="false">D47*E47</f>
        <v>458530.8</v>
      </c>
      <c r="G47" s="13" t="n">
        <v>11851</v>
      </c>
      <c r="H47" s="14" t="n">
        <v>38.7</v>
      </c>
      <c r="I47" s="15" t="n">
        <f aca="false">G47*H47</f>
        <v>458633.7</v>
      </c>
      <c r="J47" s="16"/>
      <c r="K47" s="15" t="n">
        <f aca="false">IF(F47=0,"",I47-F47)</f>
        <v>102.900000000023</v>
      </c>
      <c r="L47" s="17" t="n">
        <f aca="false">IFERROR(K47/F47,"")</f>
        <v>0.000224412405884236</v>
      </c>
      <c r="M47" s="18" t="n">
        <v>0.6</v>
      </c>
      <c r="N47" s="15" t="n">
        <f aca="false">F47*M47</f>
        <v>275118.48</v>
      </c>
      <c r="O47" s="18" t="n">
        <v>0.5881</v>
      </c>
      <c r="P47" s="15" t="n">
        <f aca="false">I47*O47</f>
        <v>269722.47897</v>
      </c>
    </row>
    <row r="48" customFormat="false" ht="15" hidden="false" customHeight="true" outlineLevel="0" collapsed="false">
      <c r="A48" s="12" t="s">
        <v>66</v>
      </c>
      <c r="B48" s="12" t="s">
        <v>64</v>
      </c>
      <c r="C48" s="12" t="s">
        <v>49</v>
      </c>
      <c r="D48" s="13" t="n">
        <v>19188</v>
      </c>
      <c r="E48" s="14" t="n">
        <v>45.99</v>
      </c>
      <c r="F48" s="15" t="n">
        <f aca="false">D48*E48</f>
        <v>882456.12</v>
      </c>
      <c r="G48" s="13" t="n">
        <v>18646</v>
      </c>
      <c r="H48" s="14" t="n">
        <v>46.33</v>
      </c>
      <c r="I48" s="15" t="n">
        <f aca="false">G48*H48</f>
        <v>863869.18</v>
      </c>
      <c r="J48" s="16"/>
      <c r="K48" s="15" t="n">
        <f aca="false">IF(F48=0,"",I48-F48)</f>
        <v>-18586.9400000001</v>
      </c>
      <c r="L48" s="17" t="n">
        <f aca="false">IFERROR(K48/F48,"")</f>
        <v>-0.0210627356746079</v>
      </c>
      <c r="M48" s="18" t="n">
        <v>0.62</v>
      </c>
      <c r="N48" s="15" t="n">
        <f aca="false">F48*M48</f>
        <v>547122.7944</v>
      </c>
      <c r="O48" s="18" t="n">
        <v>0.6316</v>
      </c>
      <c r="P48" s="15" t="n">
        <f aca="false">I48*O48</f>
        <v>545619.774088</v>
      </c>
    </row>
    <row r="49" customFormat="false" ht="15" hidden="false" customHeight="true" outlineLevel="0" collapsed="false">
      <c r="A49" s="12" t="s">
        <v>66</v>
      </c>
      <c r="B49" s="12" t="s">
        <v>64</v>
      </c>
      <c r="C49" s="12" t="s">
        <v>50</v>
      </c>
      <c r="D49" s="13" t="n">
        <v>27183</v>
      </c>
      <c r="E49" s="14" t="n">
        <v>28.62</v>
      </c>
      <c r="F49" s="15" t="n">
        <f aca="false">D49*E49</f>
        <v>777977.46</v>
      </c>
      <c r="G49" s="13" t="n">
        <v>26461</v>
      </c>
      <c r="H49" s="14" t="n">
        <v>28.65</v>
      </c>
      <c r="I49" s="15" t="n">
        <f aca="false">G49*H49</f>
        <v>758107.65</v>
      </c>
      <c r="J49" s="16"/>
      <c r="K49" s="15" t="n">
        <f aca="false">IF(F49=0,"",I49-F49)</f>
        <v>-19869.8100000002</v>
      </c>
      <c r="L49" s="17" t="n">
        <f aca="false">IFERROR(K49/F49,"")</f>
        <v>-0.0255403414900994</v>
      </c>
      <c r="M49" s="18" t="n">
        <v>0.58</v>
      </c>
      <c r="N49" s="15" t="n">
        <f aca="false">F49*M49</f>
        <v>451226.9268</v>
      </c>
      <c r="O49" s="18" t="n">
        <v>0.5704</v>
      </c>
      <c r="P49" s="15" t="n">
        <f aca="false">I49*O49</f>
        <v>432424.60356</v>
      </c>
    </row>
    <row r="50" customFormat="false" ht="15" hidden="false" customHeight="true" outlineLevel="0" collapsed="false">
      <c r="A50" s="12" t="s">
        <v>66</v>
      </c>
      <c r="B50" s="12" t="s">
        <v>64</v>
      </c>
      <c r="C50" s="12" t="s">
        <v>51</v>
      </c>
      <c r="D50" s="13" t="n">
        <v>15990</v>
      </c>
      <c r="E50" s="14" t="n">
        <v>56.21</v>
      </c>
      <c r="F50" s="15" t="n">
        <f aca="false">D50*E50</f>
        <v>898797.9</v>
      </c>
      <c r="G50" s="13" t="n">
        <v>16302</v>
      </c>
      <c r="H50" s="14" t="n">
        <v>56.08</v>
      </c>
      <c r="I50" s="15" t="n">
        <f aca="false">G50*H50</f>
        <v>914216.16</v>
      </c>
      <c r="J50" s="16"/>
      <c r="K50" s="15" t="n">
        <f aca="false">IF(F50=0,"",I50-F50)</f>
        <v>15418.2599999999</v>
      </c>
      <c r="L50" s="17" t="n">
        <f aca="false">IFERROR(K50/F50,"")</f>
        <v>0.01715431244332</v>
      </c>
      <c r="M50" s="18" t="n">
        <v>0.68</v>
      </c>
      <c r="N50" s="15" t="n">
        <f aca="false">F50*M50</f>
        <v>611182.572</v>
      </c>
      <c r="O50" s="18" t="n">
        <v>0.6836</v>
      </c>
      <c r="P50" s="15" t="n">
        <f aca="false">I50*O50</f>
        <v>624958.166976</v>
      </c>
    </row>
    <row r="51" customFormat="false" ht="15" hidden="false" customHeight="true" outlineLevel="0" collapsed="false">
      <c r="A51" s="12" t="s">
        <v>66</v>
      </c>
      <c r="B51" s="12" t="s">
        <v>64</v>
      </c>
      <c r="C51" s="12" t="s">
        <v>52</v>
      </c>
      <c r="D51" s="13" t="n">
        <v>12792</v>
      </c>
      <c r="E51" s="14" t="n">
        <v>38.84</v>
      </c>
      <c r="F51" s="15" t="n">
        <f aca="false">D51*E51</f>
        <v>496841.28</v>
      </c>
      <c r="G51" s="13" t="n">
        <v>12815</v>
      </c>
      <c r="H51" s="14" t="n">
        <v>38.45</v>
      </c>
      <c r="I51" s="15" t="n">
        <f aca="false">G51*H51</f>
        <v>492736.75</v>
      </c>
      <c r="J51" s="16"/>
      <c r="K51" s="15" t="n">
        <f aca="false">IF(F51=0,"",I51-F51)</f>
        <v>-4104.52999999997</v>
      </c>
      <c r="L51" s="17" t="n">
        <f aca="false">IFERROR(K51/F51,"")</f>
        <v>-0.00826124995088969</v>
      </c>
      <c r="M51" s="18" t="n">
        <v>0.6</v>
      </c>
      <c r="N51" s="15" t="n">
        <f aca="false">F51*M51</f>
        <v>298104.768</v>
      </c>
      <c r="O51" s="18" t="n">
        <v>0.5932</v>
      </c>
      <c r="P51" s="15" t="n">
        <f aca="false">I51*O51</f>
        <v>292291.4401</v>
      </c>
    </row>
    <row r="52" customFormat="false" ht="15" hidden="false" customHeight="true" outlineLevel="0" collapsed="false">
      <c r="A52" s="12" t="s">
        <v>67</v>
      </c>
      <c r="B52" s="12" t="s">
        <v>48</v>
      </c>
      <c r="C52" s="12" t="s">
        <v>49</v>
      </c>
      <c r="D52" s="19"/>
      <c r="E52" s="20"/>
      <c r="F52" s="16"/>
      <c r="G52" s="19"/>
      <c r="H52" s="20"/>
      <c r="I52" s="16"/>
      <c r="J52" s="21" t="n">
        <v>877502.79</v>
      </c>
      <c r="K52" s="16"/>
      <c r="L52" s="22"/>
      <c r="M52" s="22"/>
      <c r="N52" s="16"/>
      <c r="O52" s="22"/>
      <c r="P52" s="16"/>
      <c r="Q52" s="21" t="n">
        <v>545877.11</v>
      </c>
    </row>
    <row r="53" customFormat="false" ht="15" hidden="false" customHeight="true" outlineLevel="0" collapsed="false">
      <c r="A53" s="12" t="s">
        <v>67</v>
      </c>
      <c r="B53" s="12" t="s">
        <v>48</v>
      </c>
      <c r="C53" s="12" t="s">
        <v>50</v>
      </c>
      <c r="D53" s="19"/>
      <c r="E53" s="20"/>
      <c r="F53" s="16"/>
      <c r="G53" s="19"/>
      <c r="H53" s="20"/>
      <c r="I53" s="16"/>
      <c r="J53" s="21" t="n">
        <v>766767.65</v>
      </c>
      <c r="K53" s="16"/>
      <c r="L53" s="22"/>
      <c r="M53" s="22"/>
      <c r="N53" s="16"/>
      <c r="O53" s="22"/>
      <c r="P53" s="16"/>
      <c r="Q53" s="21" t="n">
        <v>440478.38</v>
      </c>
    </row>
    <row r="54" customFormat="false" ht="15" hidden="false" customHeight="true" outlineLevel="0" collapsed="false">
      <c r="A54" s="12" t="s">
        <v>67</v>
      </c>
      <c r="B54" s="12" t="s">
        <v>48</v>
      </c>
      <c r="C54" s="12" t="s">
        <v>51</v>
      </c>
      <c r="D54" s="19"/>
      <c r="E54" s="20"/>
      <c r="F54" s="16"/>
      <c r="G54" s="19"/>
      <c r="H54" s="20"/>
      <c r="I54" s="16"/>
      <c r="J54" s="21" t="n">
        <v>925940.55</v>
      </c>
      <c r="K54" s="16"/>
      <c r="L54" s="22"/>
      <c r="M54" s="22"/>
      <c r="N54" s="16"/>
      <c r="O54" s="22"/>
      <c r="P54" s="16"/>
      <c r="Q54" s="21" t="n">
        <v>636436.6</v>
      </c>
    </row>
    <row r="55" customFormat="false" ht="15" hidden="false" customHeight="true" outlineLevel="0" collapsed="false">
      <c r="A55" s="12" t="s">
        <v>67</v>
      </c>
      <c r="B55" s="12" t="s">
        <v>48</v>
      </c>
      <c r="C55" s="12" t="s">
        <v>52</v>
      </c>
      <c r="D55" s="19"/>
      <c r="E55" s="20"/>
      <c r="F55" s="16"/>
      <c r="G55" s="19"/>
      <c r="H55" s="20"/>
      <c r="I55" s="16"/>
      <c r="J55" s="21" t="n">
        <v>502604.83</v>
      </c>
      <c r="K55" s="16"/>
      <c r="L55" s="22"/>
      <c r="M55" s="22"/>
      <c r="N55" s="16"/>
      <c r="O55" s="22"/>
      <c r="P55" s="16"/>
      <c r="Q55" s="21" t="n">
        <v>304558.97</v>
      </c>
    </row>
    <row r="56" customFormat="false" ht="15" hidden="false" customHeight="true" outlineLevel="0" collapsed="false">
      <c r="A56" s="12" t="s">
        <v>68</v>
      </c>
      <c r="B56" s="12" t="s">
        <v>48</v>
      </c>
      <c r="C56" s="12" t="s">
        <v>49</v>
      </c>
      <c r="D56" s="19"/>
      <c r="E56" s="20"/>
      <c r="F56" s="16"/>
      <c r="G56" s="19"/>
      <c r="H56" s="20"/>
      <c r="I56" s="16"/>
      <c r="J56" s="21" t="n">
        <v>891351.56</v>
      </c>
      <c r="K56" s="16"/>
      <c r="L56" s="22"/>
      <c r="M56" s="22"/>
      <c r="N56" s="16"/>
      <c r="O56" s="22"/>
      <c r="P56" s="16"/>
      <c r="Q56" s="21" t="n">
        <v>554492.15</v>
      </c>
    </row>
    <row r="57" customFormat="false" ht="15" hidden="false" customHeight="true" outlineLevel="0" collapsed="false">
      <c r="A57" s="12" t="s">
        <v>68</v>
      </c>
      <c r="B57" s="12" t="s">
        <v>48</v>
      </c>
      <c r="C57" s="12" t="s">
        <v>50</v>
      </c>
      <c r="D57" s="19"/>
      <c r="E57" s="20"/>
      <c r="F57" s="16"/>
      <c r="G57" s="19"/>
      <c r="H57" s="20"/>
      <c r="I57" s="16"/>
      <c r="J57" s="21" t="n">
        <v>775526.57</v>
      </c>
      <c r="K57" s="16"/>
      <c r="L57" s="22"/>
      <c r="M57" s="22"/>
      <c r="N57" s="16"/>
      <c r="O57" s="22"/>
      <c r="P57" s="16"/>
      <c r="Q57" s="21" t="n">
        <v>445510.05</v>
      </c>
    </row>
    <row r="58" customFormat="false" ht="15" hidden="false" customHeight="true" outlineLevel="0" collapsed="false">
      <c r="A58" s="12" t="s">
        <v>68</v>
      </c>
      <c r="B58" s="12" t="s">
        <v>48</v>
      </c>
      <c r="C58" s="12" t="s">
        <v>51</v>
      </c>
      <c r="D58" s="19"/>
      <c r="E58" s="20"/>
      <c r="F58" s="16"/>
      <c r="G58" s="19"/>
      <c r="H58" s="20"/>
      <c r="I58" s="16"/>
      <c r="J58" s="21" t="n">
        <v>937815.29</v>
      </c>
      <c r="K58" s="16"/>
      <c r="L58" s="22"/>
      <c r="M58" s="22"/>
      <c r="N58" s="16"/>
      <c r="O58" s="22"/>
      <c r="P58" s="16"/>
      <c r="Q58" s="21" t="n">
        <v>644598.59</v>
      </c>
    </row>
    <row r="59" customFormat="false" ht="15" hidden="false" customHeight="true" outlineLevel="0" collapsed="false">
      <c r="A59" s="12" t="s">
        <v>68</v>
      </c>
      <c r="B59" s="12" t="s">
        <v>48</v>
      </c>
      <c r="C59" s="12" t="s">
        <v>52</v>
      </c>
      <c r="D59" s="19"/>
      <c r="E59" s="20"/>
      <c r="F59" s="16"/>
      <c r="G59" s="19"/>
      <c r="H59" s="20"/>
      <c r="I59" s="16"/>
      <c r="J59" s="21" t="n">
        <v>512670.54</v>
      </c>
      <c r="K59" s="16"/>
      <c r="L59" s="22"/>
      <c r="M59" s="22"/>
      <c r="N59" s="16"/>
      <c r="O59" s="22"/>
      <c r="P59" s="16"/>
      <c r="Q59" s="21" t="n">
        <v>310658.4</v>
      </c>
    </row>
    <row r="60" customFormat="false" ht="15" hidden="false" customHeight="true" outlineLevel="0" collapsed="false">
      <c r="A60" s="12" t="s">
        <v>69</v>
      </c>
      <c r="B60" s="12" t="s">
        <v>48</v>
      </c>
      <c r="C60" s="12" t="s">
        <v>49</v>
      </c>
      <c r="D60" s="19"/>
      <c r="E60" s="20"/>
      <c r="F60" s="16"/>
      <c r="G60" s="19"/>
      <c r="H60" s="20"/>
      <c r="I60" s="16"/>
      <c r="J60" s="21" t="n">
        <v>905418.89</v>
      </c>
      <c r="K60" s="16"/>
      <c r="L60" s="22"/>
      <c r="M60" s="22"/>
      <c r="N60" s="16"/>
      <c r="O60" s="22"/>
      <c r="P60" s="16"/>
      <c r="Q60" s="21" t="n">
        <v>563243.16</v>
      </c>
    </row>
    <row r="61" customFormat="false" ht="15" hidden="false" customHeight="true" outlineLevel="0" collapsed="false">
      <c r="A61" s="12" t="s">
        <v>69</v>
      </c>
      <c r="B61" s="12" t="s">
        <v>48</v>
      </c>
      <c r="C61" s="12" t="s">
        <v>50</v>
      </c>
      <c r="D61" s="19"/>
      <c r="E61" s="20"/>
      <c r="F61" s="16"/>
      <c r="G61" s="19"/>
      <c r="H61" s="20"/>
      <c r="I61" s="16"/>
      <c r="J61" s="21" t="n">
        <v>784385.55</v>
      </c>
      <c r="K61" s="16"/>
      <c r="L61" s="22"/>
      <c r="M61" s="22"/>
      <c r="N61" s="16"/>
      <c r="O61" s="22"/>
      <c r="P61" s="16"/>
      <c r="Q61" s="21" t="n">
        <v>450599.19</v>
      </c>
    </row>
    <row r="62" customFormat="false" ht="15" hidden="false" customHeight="true" outlineLevel="0" collapsed="false">
      <c r="A62" s="12" t="s">
        <v>69</v>
      </c>
      <c r="B62" s="12" t="s">
        <v>48</v>
      </c>
      <c r="C62" s="12" t="s">
        <v>51</v>
      </c>
      <c r="D62" s="19"/>
      <c r="E62" s="20"/>
      <c r="F62" s="16"/>
      <c r="G62" s="19"/>
      <c r="H62" s="20"/>
      <c r="I62" s="16"/>
      <c r="J62" s="21" t="n">
        <v>949842.32</v>
      </c>
      <c r="K62" s="16"/>
      <c r="L62" s="22"/>
      <c r="M62" s="22"/>
      <c r="N62" s="16"/>
      <c r="O62" s="22"/>
      <c r="P62" s="16"/>
      <c r="Q62" s="21" t="n">
        <v>652865.26</v>
      </c>
    </row>
    <row r="63" customFormat="false" ht="15" hidden="false" customHeight="true" outlineLevel="0" collapsed="false">
      <c r="A63" s="12" t="s">
        <v>69</v>
      </c>
      <c r="B63" s="12" t="s">
        <v>48</v>
      </c>
      <c r="C63" s="12" t="s">
        <v>52</v>
      </c>
      <c r="D63" s="19"/>
      <c r="E63" s="20"/>
      <c r="F63" s="16"/>
      <c r="G63" s="19"/>
      <c r="H63" s="20"/>
      <c r="I63" s="16"/>
      <c r="J63" s="21" t="n">
        <v>522937.83</v>
      </c>
      <c r="K63" s="16"/>
      <c r="L63" s="22"/>
      <c r="M63" s="22"/>
      <c r="N63" s="16"/>
      <c r="O63" s="22"/>
      <c r="P63" s="16"/>
      <c r="Q63" s="21" t="n">
        <v>316879.98</v>
      </c>
    </row>
    <row r="64" customFormat="false" ht="15" hidden="false" customHeight="true" outlineLevel="0" collapsed="false">
      <c r="A64" s="12" t="s">
        <v>70</v>
      </c>
      <c r="B64" s="12" t="s">
        <v>56</v>
      </c>
      <c r="C64" s="12" t="s">
        <v>49</v>
      </c>
      <c r="D64" s="19"/>
      <c r="E64" s="20"/>
      <c r="F64" s="16"/>
      <c r="G64" s="19"/>
      <c r="H64" s="20"/>
      <c r="I64" s="16"/>
      <c r="J64" s="21" t="n">
        <v>919708.24</v>
      </c>
      <c r="K64" s="16"/>
      <c r="L64" s="22"/>
      <c r="M64" s="22"/>
      <c r="N64" s="16"/>
      <c r="O64" s="22"/>
      <c r="P64" s="16"/>
      <c r="Q64" s="21" t="n">
        <v>572132.28</v>
      </c>
    </row>
    <row r="65" customFormat="false" ht="15" hidden="false" customHeight="true" outlineLevel="0" collapsed="false">
      <c r="A65" s="12" t="s">
        <v>70</v>
      </c>
      <c r="B65" s="12" t="s">
        <v>56</v>
      </c>
      <c r="C65" s="12" t="s">
        <v>50</v>
      </c>
      <c r="D65" s="19"/>
      <c r="E65" s="20"/>
      <c r="F65" s="16"/>
      <c r="G65" s="19"/>
      <c r="H65" s="20"/>
      <c r="I65" s="16"/>
      <c r="J65" s="21" t="n">
        <v>793345.73</v>
      </c>
      <c r="K65" s="16"/>
      <c r="L65" s="22"/>
      <c r="M65" s="22"/>
      <c r="N65" s="16"/>
      <c r="O65" s="22"/>
      <c r="P65" s="16"/>
      <c r="Q65" s="21" t="n">
        <v>455746.46</v>
      </c>
    </row>
    <row r="66" customFormat="false" ht="15" hidden="false" customHeight="true" outlineLevel="0" collapsed="false">
      <c r="A66" s="12" t="s">
        <v>70</v>
      </c>
      <c r="B66" s="12" t="s">
        <v>56</v>
      </c>
      <c r="C66" s="12" t="s">
        <v>51</v>
      </c>
      <c r="D66" s="19"/>
      <c r="E66" s="20"/>
      <c r="F66" s="16"/>
      <c r="G66" s="19"/>
      <c r="H66" s="20"/>
      <c r="I66" s="16"/>
      <c r="J66" s="21" t="n">
        <v>962023.6</v>
      </c>
      <c r="K66" s="16"/>
      <c r="L66" s="22"/>
      <c r="M66" s="22"/>
      <c r="N66" s="16"/>
      <c r="O66" s="22"/>
      <c r="P66" s="16"/>
      <c r="Q66" s="21" t="n">
        <v>661237.95</v>
      </c>
    </row>
    <row r="67" customFormat="false" ht="15" hidden="false" customHeight="true" outlineLevel="0" collapsed="false">
      <c r="A67" s="12" t="s">
        <v>70</v>
      </c>
      <c r="B67" s="12" t="s">
        <v>56</v>
      </c>
      <c r="C67" s="12" t="s">
        <v>52</v>
      </c>
      <c r="D67" s="19"/>
      <c r="E67" s="20"/>
      <c r="F67" s="16"/>
      <c r="G67" s="19"/>
      <c r="H67" s="20"/>
      <c r="I67" s="16"/>
      <c r="J67" s="21" t="n">
        <v>533410.75</v>
      </c>
      <c r="K67" s="16"/>
      <c r="L67" s="22"/>
      <c r="M67" s="22"/>
      <c r="N67" s="16"/>
      <c r="O67" s="22"/>
      <c r="P67" s="16"/>
      <c r="Q67" s="21" t="n">
        <v>323226.16</v>
      </c>
    </row>
    <row r="68" customFormat="false" ht="15" hidden="false" customHeight="true" outlineLevel="0" collapsed="false">
      <c r="A68" s="12" t="s">
        <v>71</v>
      </c>
      <c r="B68" s="12" t="s">
        <v>56</v>
      </c>
      <c r="C68" s="12" t="s">
        <v>49</v>
      </c>
      <c r="D68" s="19"/>
      <c r="E68" s="20"/>
      <c r="F68" s="16"/>
      <c r="G68" s="19"/>
      <c r="H68" s="20"/>
      <c r="I68" s="16"/>
      <c r="J68" s="21" t="n">
        <v>934223.1</v>
      </c>
      <c r="K68" s="16"/>
      <c r="L68" s="22"/>
      <c r="M68" s="22"/>
      <c r="N68" s="16"/>
      <c r="O68" s="22"/>
      <c r="P68" s="16"/>
      <c r="Q68" s="21" t="n">
        <v>581161.69</v>
      </c>
    </row>
    <row r="69" customFormat="false" ht="15" hidden="false" customHeight="true" outlineLevel="0" collapsed="false">
      <c r="A69" s="12" t="s">
        <v>71</v>
      </c>
      <c r="B69" s="12" t="s">
        <v>56</v>
      </c>
      <c r="C69" s="12" t="s">
        <v>50</v>
      </c>
      <c r="D69" s="19"/>
      <c r="E69" s="20"/>
      <c r="F69" s="16"/>
      <c r="G69" s="19"/>
      <c r="H69" s="20"/>
      <c r="I69" s="16"/>
      <c r="J69" s="21" t="n">
        <v>802408.26</v>
      </c>
      <c r="K69" s="16"/>
      <c r="L69" s="22"/>
      <c r="M69" s="22"/>
      <c r="N69" s="16"/>
      <c r="O69" s="22"/>
      <c r="P69" s="16"/>
      <c r="Q69" s="21" t="n">
        <v>460952.53</v>
      </c>
    </row>
    <row r="70" customFormat="false" ht="15" hidden="false" customHeight="true" outlineLevel="0" collapsed="false">
      <c r="A70" s="12" t="s">
        <v>71</v>
      </c>
      <c r="B70" s="12" t="s">
        <v>56</v>
      </c>
      <c r="C70" s="12" t="s">
        <v>51</v>
      </c>
      <c r="D70" s="19"/>
      <c r="E70" s="20"/>
      <c r="F70" s="16"/>
      <c r="G70" s="19"/>
      <c r="H70" s="20"/>
      <c r="I70" s="16"/>
      <c r="J70" s="21" t="n">
        <v>974361.09</v>
      </c>
      <c r="K70" s="16"/>
      <c r="L70" s="22"/>
      <c r="M70" s="22"/>
      <c r="N70" s="16"/>
      <c r="O70" s="22"/>
      <c r="P70" s="16"/>
      <c r="Q70" s="21" t="n">
        <v>669718.01</v>
      </c>
    </row>
    <row r="71" customFormat="false" ht="15" hidden="false" customHeight="true" outlineLevel="0" collapsed="false">
      <c r="A71" s="12" t="s">
        <v>71</v>
      </c>
      <c r="B71" s="12" t="s">
        <v>56</v>
      </c>
      <c r="C71" s="12" t="s">
        <v>52</v>
      </c>
      <c r="D71" s="19"/>
      <c r="E71" s="20"/>
      <c r="F71" s="16"/>
      <c r="G71" s="19"/>
      <c r="H71" s="20"/>
      <c r="I71" s="16"/>
      <c r="J71" s="21" t="n">
        <v>544093.41</v>
      </c>
      <c r="K71" s="16"/>
      <c r="L71" s="22"/>
      <c r="M71" s="22"/>
      <c r="N71" s="16"/>
      <c r="O71" s="22"/>
      <c r="P71" s="16"/>
      <c r="Q71" s="21" t="n">
        <v>329699.44</v>
      </c>
    </row>
    <row r="72" customFormat="false" ht="15" hidden="false" customHeight="true" outlineLevel="0" collapsed="false">
      <c r="A72" s="12" t="s">
        <v>72</v>
      </c>
      <c r="B72" s="12" t="s">
        <v>56</v>
      </c>
      <c r="C72" s="12" t="s">
        <v>49</v>
      </c>
      <c r="D72" s="19"/>
      <c r="E72" s="20"/>
      <c r="F72" s="16"/>
      <c r="G72" s="19"/>
      <c r="H72" s="20"/>
      <c r="I72" s="16"/>
      <c r="J72" s="21" t="n">
        <v>948967.03</v>
      </c>
      <c r="K72" s="16"/>
      <c r="L72" s="22"/>
      <c r="M72" s="22"/>
      <c r="N72" s="16"/>
      <c r="O72" s="22"/>
      <c r="P72" s="16"/>
      <c r="Q72" s="21" t="n">
        <v>590333.6</v>
      </c>
    </row>
    <row r="73" customFormat="false" ht="15" hidden="false" customHeight="true" outlineLevel="0" collapsed="false">
      <c r="A73" s="12" t="s">
        <v>72</v>
      </c>
      <c r="B73" s="12" t="s">
        <v>56</v>
      </c>
      <c r="C73" s="12" t="s">
        <v>50</v>
      </c>
      <c r="D73" s="19"/>
      <c r="E73" s="20"/>
      <c r="F73" s="16"/>
      <c r="G73" s="19"/>
      <c r="H73" s="20"/>
      <c r="I73" s="16"/>
      <c r="J73" s="21" t="n">
        <v>811574.31</v>
      </c>
      <c r="K73" s="16"/>
      <c r="L73" s="22"/>
      <c r="M73" s="22"/>
      <c r="N73" s="16"/>
      <c r="O73" s="22"/>
      <c r="P73" s="16"/>
      <c r="Q73" s="21" t="n">
        <v>466218.08</v>
      </c>
    </row>
    <row r="74" customFormat="false" ht="15" hidden="false" customHeight="true" outlineLevel="0" collapsed="false">
      <c r="A74" s="12" t="s">
        <v>72</v>
      </c>
      <c r="B74" s="12" t="s">
        <v>56</v>
      </c>
      <c r="C74" s="12" t="s">
        <v>51</v>
      </c>
      <c r="D74" s="19"/>
      <c r="E74" s="20"/>
      <c r="F74" s="16"/>
      <c r="G74" s="19"/>
      <c r="H74" s="20"/>
      <c r="I74" s="16"/>
      <c r="J74" s="21" t="n">
        <v>986856.81</v>
      </c>
      <c r="K74" s="16"/>
      <c r="L74" s="22"/>
      <c r="M74" s="22"/>
      <c r="N74" s="16"/>
      <c r="O74" s="22"/>
      <c r="P74" s="16"/>
      <c r="Q74" s="21" t="n">
        <v>678306.82</v>
      </c>
    </row>
    <row r="75" customFormat="false" ht="15" hidden="false" customHeight="true" outlineLevel="0" collapsed="false">
      <c r="A75" s="12" t="s">
        <v>72</v>
      </c>
      <c r="B75" s="12" t="s">
        <v>56</v>
      </c>
      <c r="C75" s="12" t="s">
        <v>52</v>
      </c>
      <c r="D75" s="19"/>
      <c r="E75" s="20"/>
      <c r="F75" s="16"/>
      <c r="G75" s="19"/>
      <c r="H75" s="20"/>
      <c r="I75" s="16"/>
      <c r="J75" s="21" t="n">
        <v>554990.01</v>
      </c>
      <c r="K75" s="16"/>
      <c r="L75" s="22"/>
      <c r="M75" s="22"/>
      <c r="N75" s="16"/>
      <c r="O75" s="22"/>
      <c r="P75" s="16"/>
      <c r="Q75" s="21" t="n">
        <v>336302.36</v>
      </c>
    </row>
    <row r="77" customFormat="false" ht="15" hidden="false" customHeight="true" outlineLevel="0" collapsed="false">
      <c r="A77" s="11" t="s">
        <v>73</v>
      </c>
      <c r="B77" s="11"/>
      <c r="C77" s="11"/>
      <c r="D77" s="11"/>
      <c r="E77" s="11"/>
      <c r="F77" s="11"/>
      <c r="G77" s="11"/>
      <c r="H77" s="11"/>
      <c r="I77" s="11"/>
      <c r="J77" s="11"/>
      <c r="K77" s="11"/>
      <c r="L77" s="11"/>
      <c r="M77" s="11"/>
      <c r="N77" s="11"/>
      <c r="O77" s="11"/>
      <c r="P77" s="11"/>
    </row>
    <row r="79" customFormat="false" ht="15" hidden="false" customHeight="true" outlineLevel="0" collapsed="false">
      <c r="A79" s="6" t="s">
        <v>74</v>
      </c>
    </row>
    <row r="80" customFormat="false" ht="27.75" hidden="false" customHeight="true" outlineLevel="0" collapsed="false">
      <c r="A80" s="7" t="s">
        <v>27</v>
      </c>
      <c r="B80" s="7"/>
      <c r="C80" s="7"/>
      <c r="D80" s="7"/>
      <c r="E80" s="7" t="s">
        <v>15</v>
      </c>
      <c r="F80" s="7"/>
      <c r="G80" s="7" t="s">
        <v>16</v>
      </c>
      <c r="H80" s="7"/>
      <c r="I80" s="7"/>
      <c r="J80" s="7" t="s">
        <v>21</v>
      </c>
      <c r="K80" s="7" t="s">
        <v>75</v>
      </c>
      <c r="L80" s="7"/>
      <c r="M80" s="7" t="s">
        <v>76</v>
      </c>
    </row>
    <row r="81" customFormat="false" ht="15" hidden="false" customHeight="true" outlineLevel="0" collapsed="false">
      <c r="A81" s="23" t="s">
        <v>49</v>
      </c>
      <c r="B81" s="23"/>
      <c r="C81" s="23"/>
      <c r="D81" s="23"/>
      <c r="E81" s="24" t="n">
        <f aca="false">SUMIF($C$4:$C$51,A81,$F$4:$F$51)</f>
        <v>10551210.21</v>
      </c>
      <c r="F81" s="24"/>
      <c r="G81" s="24" t="n">
        <f aca="false">SUMIF($C$4:$C$51,A81,$I$4:$I$51)</f>
        <v>10554798.17</v>
      </c>
      <c r="H81" s="24"/>
      <c r="I81" s="24"/>
      <c r="J81" s="25" t="n">
        <f aca="false">G81-E81</f>
        <v>3587.95999999903</v>
      </c>
      <c r="K81" s="10" t="n">
        <f aca="false">IFERROR(J81/E81,"")</f>
        <v>0.00034005198726858</v>
      </c>
      <c r="M81" s="10" t="n">
        <f aca="false">IFERROR((G81-SUMIF($C$4:$C$51,A81,$P$4:$P$51))/G81,"")</f>
        <v>0.377648099672568</v>
      </c>
    </row>
    <row r="82" customFormat="false" ht="15" hidden="false" customHeight="true" outlineLevel="0" collapsed="false">
      <c r="A82" s="23" t="s">
        <v>50</v>
      </c>
      <c r="B82" s="23"/>
      <c r="C82" s="23"/>
      <c r="D82" s="23"/>
      <c r="E82" s="24" t="n">
        <f aca="false">SUMIF($C$4:$C$51,A82,$F$4:$F$51)</f>
        <v>8788091.07</v>
      </c>
      <c r="F82" s="24"/>
      <c r="G82" s="24" t="n">
        <f aca="false">SUMIF($C$4:$C$51,A82,$I$4:$I$51)</f>
        <v>8623347.77</v>
      </c>
      <c r="H82" s="24"/>
      <c r="I82" s="24"/>
      <c r="J82" s="25" t="n">
        <f aca="false">G82-E82</f>
        <v>-164743.300000001</v>
      </c>
      <c r="K82" s="10" t="n">
        <f aca="false">IFERROR(J82/E82,"")</f>
        <v>-0.0187461985416135</v>
      </c>
      <c r="M82" s="10" t="n">
        <f aca="false">IFERROR((G82-SUMIF($C$4:$C$51,A82,$P$4:$P$51))/G82,"")</f>
        <v>0.425432214767676</v>
      </c>
    </row>
    <row r="83" customFormat="false" ht="15" hidden="false" customHeight="true" outlineLevel="0" collapsed="false">
      <c r="A83" s="23" t="s">
        <v>51</v>
      </c>
      <c r="B83" s="23"/>
      <c r="C83" s="23"/>
      <c r="D83" s="23"/>
      <c r="E83" s="24" t="n">
        <f aca="false">SUMIF($C$4:$C$51,A83,$F$4:$F$51)</f>
        <v>10540046.55</v>
      </c>
      <c r="F83" s="24"/>
      <c r="G83" s="24" t="n">
        <f aca="false">SUMIF($C$4:$C$51,A83,$I$4:$I$51)</f>
        <v>10596560.07</v>
      </c>
      <c r="H83" s="24"/>
      <c r="I83" s="24"/>
      <c r="J83" s="25" t="n">
        <f aca="false">G83-E83</f>
        <v>56513.5199999996</v>
      </c>
      <c r="K83" s="10" t="n">
        <f aca="false">IFERROR(J83/E83,"")</f>
        <v>0.00536179036135277</v>
      </c>
      <c r="M83" s="10" t="n">
        <f aca="false">IFERROR((G83-SUMIF($C$4:$C$51,A83,$P$4:$P$51))/G83,"")</f>
        <v>0.313668362744062</v>
      </c>
    </row>
    <row r="84" customFormat="false" ht="15" hidden="false" customHeight="true" outlineLevel="0" collapsed="false">
      <c r="A84" s="23" t="s">
        <v>52</v>
      </c>
      <c r="B84" s="23"/>
      <c r="C84" s="23"/>
      <c r="D84" s="23"/>
      <c r="E84" s="24" t="n">
        <f aca="false">SUMIF($C$4:$C$51,A84,$F$4:$F$51)</f>
        <v>5805502.1</v>
      </c>
      <c r="F84" s="24"/>
      <c r="G84" s="24" t="n">
        <f aca="false">SUMIF($C$4:$C$51,A84,$I$4:$I$51)</f>
        <v>5785552.38</v>
      </c>
      <c r="H84" s="24"/>
      <c r="I84" s="24"/>
      <c r="J84" s="25" t="n">
        <f aca="false">G84-E84</f>
        <v>-19949.7199999997</v>
      </c>
      <c r="K84" s="10" t="n">
        <f aca="false">IFERROR(J84/E84,"")</f>
        <v>-0.00343634704739832</v>
      </c>
      <c r="M84" s="10" t="n">
        <f aca="false">IFERROR((G84-SUMIF($C$4:$C$51,A84,$P$4:$P$51))/G84,"")</f>
        <v>0.395269600558521</v>
      </c>
    </row>
  </sheetData>
  <mergeCells count="17">
    <mergeCell ref="A1:O1"/>
    <mergeCell ref="A77:P77"/>
    <mergeCell ref="A80:D80"/>
    <mergeCell ref="E80:F80"/>
    <mergeCell ref="G80:I80"/>
    <mergeCell ref="A81:D81"/>
    <mergeCell ref="E81:F81"/>
    <mergeCell ref="G81:I81"/>
    <mergeCell ref="A82:D82"/>
    <mergeCell ref="E82:F82"/>
    <mergeCell ref="G82:I82"/>
    <mergeCell ref="A83:D83"/>
    <mergeCell ref="E83:F83"/>
    <mergeCell ref="G83:I83"/>
    <mergeCell ref="A84:D84"/>
    <mergeCell ref="E84:F84"/>
    <mergeCell ref="G84:I8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8"/>
    <col collapsed="false" customWidth="true" hidden="false" outlineLevel="0" max="3" min="3" style="1" width="24"/>
    <col collapsed="false" customWidth="true" hidden="false" outlineLevel="0" max="4" min="4" style="1" width="11"/>
    <col collapsed="false" customWidth="true" hidden="false" outlineLevel="0" max="6" min="5" style="1" width="14"/>
    <col collapsed="false" customWidth="true" hidden="false" outlineLevel="0" max="7" min="7" style="1" width="13"/>
    <col collapsed="false" customWidth="true" hidden="false" outlineLevel="0" max="8" min="8" style="1" width="12"/>
    <col collapsed="false" customWidth="true" hidden="false" outlineLevel="0" max="9" min="9" style="1" width="13"/>
  </cols>
  <sheetData>
    <row r="1" customFormat="false" ht="21.75" hidden="false" customHeight="true" outlineLevel="0" collapsed="false">
      <c r="A1" s="2" t="s">
        <v>77</v>
      </c>
      <c r="B1" s="2"/>
      <c r="C1" s="2"/>
      <c r="D1" s="2"/>
      <c r="E1" s="2"/>
      <c r="F1" s="2"/>
      <c r="G1" s="2"/>
      <c r="H1" s="2"/>
      <c r="I1" s="2"/>
    </row>
    <row r="3" customFormat="false" ht="27.75" hidden="false" customHeight="true" outlineLevel="0" collapsed="false">
      <c r="A3" s="7" t="s">
        <v>14</v>
      </c>
      <c r="B3" s="7" t="s">
        <v>32</v>
      </c>
      <c r="C3" s="7" t="s">
        <v>78</v>
      </c>
      <c r="D3" s="7" t="s">
        <v>79</v>
      </c>
      <c r="E3" s="7" t="s">
        <v>80</v>
      </c>
      <c r="F3" s="7" t="s">
        <v>81</v>
      </c>
      <c r="G3" s="7" t="s">
        <v>82</v>
      </c>
      <c r="H3" s="7" t="s">
        <v>83</v>
      </c>
      <c r="I3" s="7" t="s">
        <v>84</v>
      </c>
    </row>
    <row r="4" customFormat="false" ht="15" hidden="false" customHeight="true" outlineLevel="0" collapsed="false">
      <c r="A4" s="12" t="s">
        <v>47</v>
      </c>
      <c r="B4" s="12" t="s">
        <v>48</v>
      </c>
      <c r="C4" s="12" t="s">
        <v>85</v>
      </c>
      <c r="D4" s="12" t="s">
        <v>86</v>
      </c>
      <c r="E4" s="21" t="n">
        <v>285000</v>
      </c>
      <c r="F4" s="21" t="n">
        <v>285170</v>
      </c>
      <c r="G4" s="15" t="n">
        <f aca="false">F4-E4</f>
        <v>170</v>
      </c>
      <c r="H4" s="17" t="n">
        <f aca="false">IFERROR(G4/E4,"")</f>
        <v>0.000596491228070176</v>
      </c>
      <c r="I4" s="26" t="str">
        <f aca="false">IF(F4&gt;E4*1.02,"Unfavourable",IF(F4&lt;E4*0.98,"Favourable","On Target"))</f>
        <v>On Target</v>
      </c>
    </row>
    <row r="5" customFormat="false" ht="15" hidden="false" customHeight="true" outlineLevel="0" collapsed="false">
      <c r="A5" s="12" t="s">
        <v>47</v>
      </c>
      <c r="B5" s="12" t="s">
        <v>48</v>
      </c>
      <c r="C5" s="12" t="s">
        <v>87</v>
      </c>
      <c r="D5" s="12" t="s">
        <v>86</v>
      </c>
      <c r="E5" s="21" t="n">
        <v>95000</v>
      </c>
      <c r="F5" s="21" t="n">
        <v>95648</v>
      </c>
      <c r="G5" s="15" t="n">
        <f aca="false">F5-E5</f>
        <v>648</v>
      </c>
      <c r="H5" s="17" t="n">
        <f aca="false">IFERROR(G5/E5,"")</f>
        <v>0.00682105263157895</v>
      </c>
      <c r="I5" s="26" t="str">
        <f aca="false">IF(F5&gt;E5*1.02,"Unfavourable",IF(F5&lt;E5*0.98,"Favourable","On Target"))</f>
        <v>On Target</v>
      </c>
    </row>
    <row r="6" customFormat="false" ht="15" hidden="false" customHeight="true" outlineLevel="0" collapsed="false">
      <c r="A6" s="12" t="s">
        <v>47</v>
      </c>
      <c r="B6" s="12" t="s">
        <v>48</v>
      </c>
      <c r="C6" s="12" t="s">
        <v>88</v>
      </c>
      <c r="D6" s="12" t="s">
        <v>89</v>
      </c>
      <c r="E6" s="21" t="n">
        <v>32000</v>
      </c>
      <c r="F6" s="21" t="n">
        <v>31347</v>
      </c>
      <c r="G6" s="15" t="n">
        <f aca="false">F6-E6</f>
        <v>-653</v>
      </c>
      <c r="H6" s="17" t="n">
        <f aca="false">IFERROR(G6/E6,"")</f>
        <v>-0.02040625</v>
      </c>
      <c r="I6" s="26" t="str">
        <f aca="false">IF(F6&gt;E6*1.02,"Unfavourable",IF(F6&lt;E6*0.98,"Favourable","On Target"))</f>
        <v>Favourable</v>
      </c>
    </row>
    <row r="7" customFormat="false" ht="15" hidden="false" customHeight="true" outlineLevel="0" collapsed="false">
      <c r="A7" s="12" t="s">
        <v>47</v>
      </c>
      <c r="B7" s="12" t="s">
        <v>48</v>
      </c>
      <c r="C7" s="12" t="s">
        <v>90</v>
      </c>
      <c r="D7" s="12" t="s">
        <v>89</v>
      </c>
      <c r="E7" s="21" t="n">
        <v>55000</v>
      </c>
      <c r="F7" s="21" t="n">
        <v>56590</v>
      </c>
      <c r="G7" s="15" t="n">
        <f aca="false">F7-E7</f>
        <v>1590</v>
      </c>
      <c r="H7" s="17" t="n">
        <f aca="false">IFERROR(G7/E7,"")</f>
        <v>0.0289090909090909</v>
      </c>
      <c r="I7" s="26" t="str">
        <f aca="false">IF(F7&gt;E7*1.02,"Unfavourable",IF(F7&lt;E7*0.98,"Favourable","On Target"))</f>
        <v>Unfavourable</v>
      </c>
    </row>
    <row r="8" customFormat="false" ht="15" hidden="false" customHeight="true" outlineLevel="0" collapsed="false">
      <c r="A8" s="12" t="s">
        <v>47</v>
      </c>
      <c r="B8" s="12" t="s">
        <v>48</v>
      </c>
      <c r="C8" s="12" t="s">
        <v>91</v>
      </c>
      <c r="D8" s="12" t="s">
        <v>86</v>
      </c>
      <c r="E8" s="21" t="n">
        <v>28000</v>
      </c>
      <c r="F8" s="21" t="n">
        <v>28011</v>
      </c>
      <c r="G8" s="15" t="n">
        <f aca="false">F8-E8</f>
        <v>11</v>
      </c>
      <c r="H8" s="17" t="n">
        <f aca="false">IFERROR(G8/E8,"")</f>
        <v>0.000392857142857143</v>
      </c>
      <c r="I8" s="26" t="str">
        <f aca="false">IF(F8&gt;E8*1.02,"Unfavourable",IF(F8&lt;E8*0.98,"Favourable","On Target"))</f>
        <v>On Target</v>
      </c>
    </row>
    <row r="9" customFormat="false" ht="15" hidden="false" customHeight="true" outlineLevel="0" collapsed="false">
      <c r="A9" s="12" t="s">
        <v>47</v>
      </c>
      <c r="B9" s="12" t="s">
        <v>48</v>
      </c>
      <c r="C9" s="12" t="s">
        <v>92</v>
      </c>
      <c r="D9" s="12" t="s">
        <v>89</v>
      </c>
      <c r="E9" s="21" t="n">
        <v>48000</v>
      </c>
      <c r="F9" s="21" t="n">
        <v>46781</v>
      </c>
      <c r="G9" s="15" t="n">
        <f aca="false">F9-E9</f>
        <v>-1219</v>
      </c>
      <c r="H9" s="17" t="n">
        <f aca="false">IFERROR(G9/E9,"")</f>
        <v>-0.0253958333333333</v>
      </c>
      <c r="I9" s="26" t="str">
        <f aca="false">IF(F9&gt;E9*1.02,"Unfavourable",IF(F9&lt;E9*0.98,"Favourable","On Target"))</f>
        <v>Favourable</v>
      </c>
    </row>
    <row r="10" customFormat="false" ht="15" hidden="false" customHeight="true" outlineLevel="0" collapsed="false">
      <c r="A10" s="12" t="s">
        <v>47</v>
      </c>
      <c r="B10" s="12" t="s">
        <v>48</v>
      </c>
      <c r="C10" s="12" t="s">
        <v>93</v>
      </c>
      <c r="D10" s="12" t="s">
        <v>86</v>
      </c>
      <c r="E10" s="21" t="n">
        <v>18000</v>
      </c>
      <c r="F10" s="21" t="n">
        <v>18193</v>
      </c>
      <c r="G10" s="15" t="n">
        <f aca="false">F10-E10</f>
        <v>193</v>
      </c>
      <c r="H10" s="17" t="n">
        <f aca="false">IFERROR(G10/E10,"")</f>
        <v>0.0107222222222222</v>
      </c>
      <c r="I10" s="26" t="str">
        <f aca="false">IF(F10&gt;E10*1.02,"Unfavourable",IF(F10&lt;E10*0.98,"Favourable","On Target"))</f>
        <v>On Target</v>
      </c>
    </row>
    <row r="11" customFormat="false" ht="15" hidden="false" customHeight="true" outlineLevel="0" collapsed="false">
      <c r="A11" s="12" t="s">
        <v>47</v>
      </c>
      <c r="B11" s="12" t="s">
        <v>48</v>
      </c>
      <c r="C11" s="12" t="s">
        <v>94</v>
      </c>
      <c r="D11" s="12" t="s">
        <v>89</v>
      </c>
      <c r="E11" s="21" t="n">
        <v>15000</v>
      </c>
      <c r="F11" s="21" t="n">
        <v>15429</v>
      </c>
      <c r="G11" s="15" t="n">
        <f aca="false">F11-E11</f>
        <v>429</v>
      </c>
      <c r="H11" s="17" t="n">
        <f aca="false">IFERROR(G11/E11,"")</f>
        <v>0.0286</v>
      </c>
      <c r="I11" s="26" t="str">
        <f aca="false">IF(F11&gt;E11*1.02,"Unfavourable",IF(F11&lt;E11*0.98,"Favourable","On Target"))</f>
        <v>Unfavourable</v>
      </c>
    </row>
    <row r="12" customFormat="false" ht="15" hidden="false" customHeight="true" outlineLevel="0" collapsed="false">
      <c r="A12" s="12" t="s">
        <v>47</v>
      </c>
      <c r="B12" s="12" t="s">
        <v>48</v>
      </c>
      <c r="C12" s="12" t="s">
        <v>95</v>
      </c>
      <c r="D12" s="12" t="s">
        <v>89</v>
      </c>
      <c r="E12" s="21" t="n">
        <v>12000</v>
      </c>
      <c r="F12" s="21" t="n">
        <v>11830</v>
      </c>
      <c r="G12" s="15" t="n">
        <f aca="false">F12-E12</f>
        <v>-170</v>
      </c>
      <c r="H12" s="17" t="n">
        <f aca="false">IFERROR(G12/E12,"")</f>
        <v>-0.0141666666666667</v>
      </c>
      <c r="I12" s="26" t="str">
        <f aca="false">IF(F12&gt;E12*1.02,"Unfavourable",IF(F12&lt;E12*0.98,"Favourable","On Target"))</f>
        <v>On Target</v>
      </c>
    </row>
    <row r="13" customFormat="false" ht="15" hidden="false" customHeight="true" outlineLevel="0" collapsed="false">
      <c r="A13" s="12" t="s">
        <v>53</v>
      </c>
      <c r="B13" s="12" t="s">
        <v>48</v>
      </c>
      <c r="C13" s="12" t="s">
        <v>85</v>
      </c>
      <c r="D13" s="12" t="s">
        <v>86</v>
      </c>
      <c r="E13" s="21" t="n">
        <v>286710</v>
      </c>
      <c r="F13" s="21" t="n">
        <v>287576</v>
      </c>
      <c r="G13" s="15" t="n">
        <f aca="false">F13-E13</f>
        <v>866</v>
      </c>
      <c r="H13" s="17" t="n">
        <f aca="false">IFERROR(G13/E13,"")</f>
        <v>0.00302047364933208</v>
      </c>
      <c r="I13" s="26" t="str">
        <f aca="false">IF(F13&gt;E13*1.02,"Unfavourable",IF(F13&lt;E13*0.98,"Favourable","On Target"))</f>
        <v>On Target</v>
      </c>
    </row>
    <row r="14" customFormat="false" ht="15" hidden="false" customHeight="true" outlineLevel="0" collapsed="false">
      <c r="A14" s="12" t="s">
        <v>53</v>
      </c>
      <c r="B14" s="12" t="s">
        <v>48</v>
      </c>
      <c r="C14" s="12" t="s">
        <v>87</v>
      </c>
      <c r="D14" s="12" t="s">
        <v>86</v>
      </c>
      <c r="E14" s="21" t="n">
        <v>95570</v>
      </c>
      <c r="F14" s="21" t="n">
        <v>99318</v>
      </c>
      <c r="G14" s="15" t="n">
        <f aca="false">F14-E14</f>
        <v>3748</v>
      </c>
      <c r="H14" s="17" t="n">
        <f aca="false">IFERROR(G14/E14,"")</f>
        <v>0.0392173276132678</v>
      </c>
      <c r="I14" s="26" t="str">
        <f aca="false">IF(F14&gt;E14*1.02,"Unfavourable",IF(F14&lt;E14*0.98,"Favourable","On Target"))</f>
        <v>Unfavourable</v>
      </c>
    </row>
    <row r="15" customFormat="false" ht="15" hidden="false" customHeight="true" outlineLevel="0" collapsed="false">
      <c r="A15" s="12" t="s">
        <v>53</v>
      </c>
      <c r="B15" s="12" t="s">
        <v>48</v>
      </c>
      <c r="C15" s="12" t="s">
        <v>88</v>
      </c>
      <c r="D15" s="12" t="s">
        <v>89</v>
      </c>
      <c r="E15" s="21" t="n">
        <v>32192</v>
      </c>
      <c r="F15" s="21" t="n">
        <v>32416</v>
      </c>
      <c r="G15" s="15" t="n">
        <f aca="false">F15-E15</f>
        <v>224</v>
      </c>
      <c r="H15" s="17" t="n">
        <f aca="false">IFERROR(G15/E15,"")</f>
        <v>0.00695825049701789</v>
      </c>
      <c r="I15" s="26" t="str">
        <f aca="false">IF(F15&gt;E15*1.02,"Unfavourable",IF(F15&lt;E15*0.98,"Favourable","On Target"))</f>
        <v>On Target</v>
      </c>
    </row>
    <row r="16" customFormat="false" ht="15" hidden="false" customHeight="true" outlineLevel="0" collapsed="false">
      <c r="A16" s="12" t="s">
        <v>53</v>
      </c>
      <c r="B16" s="12" t="s">
        <v>48</v>
      </c>
      <c r="C16" s="12" t="s">
        <v>90</v>
      </c>
      <c r="D16" s="12" t="s">
        <v>89</v>
      </c>
      <c r="E16" s="21" t="n">
        <v>55330</v>
      </c>
      <c r="F16" s="21" t="n">
        <v>56015</v>
      </c>
      <c r="G16" s="15" t="n">
        <f aca="false">F16-E16</f>
        <v>685</v>
      </c>
      <c r="H16" s="17" t="n">
        <f aca="false">IFERROR(G16/E16,"")</f>
        <v>0.0123802638713176</v>
      </c>
      <c r="I16" s="26" t="str">
        <f aca="false">IF(F16&gt;E16*1.02,"Unfavourable",IF(F16&lt;E16*0.98,"Favourable","On Target"))</f>
        <v>On Target</v>
      </c>
    </row>
    <row r="17" customFormat="false" ht="15" hidden="false" customHeight="true" outlineLevel="0" collapsed="false">
      <c r="A17" s="12" t="s">
        <v>53</v>
      </c>
      <c r="B17" s="12" t="s">
        <v>48</v>
      </c>
      <c r="C17" s="12" t="s">
        <v>91</v>
      </c>
      <c r="D17" s="12" t="s">
        <v>86</v>
      </c>
      <c r="E17" s="21" t="n">
        <v>28168</v>
      </c>
      <c r="F17" s="21" t="n">
        <v>29396</v>
      </c>
      <c r="G17" s="15" t="n">
        <f aca="false">F17-E17</f>
        <v>1228</v>
      </c>
      <c r="H17" s="17" t="n">
        <f aca="false">IFERROR(G17/E17,"")</f>
        <v>0.0435955694404999</v>
      </c>
      <c r="I17" s="26" t="str">
        <f aca="false">IF(F17&gt;E17*1.02,"Unfavourable",IF(F17&lt;E17*0.98,"Favourable","On Target"))</f>
        <v>Unfavourable</v>
      </c>
    </row>
    <row r="18" customFormat="false" ht="15" hidden="false" customHeight="true" outlineLevel="0" collapsed="false">
      <c r="A18" s="12" t="s">
        <v>53</v>
      </c>
      <c r="B18" s="12" t="s">
        <v>48</v>
      </c>
      <c r="C18" s="12" t="s">
        <v>92</v>
      </c>
      <c r="D18" s="12" t="s">
        <v>89</v>
      </c>
      <c r="E18" s="21" t="n">
        <v>48288</v>
      </c>
      <c r="F18" s="21" t="n">
        <v>46094</v>
      </c>
      <c r="G18" s="15" t="n">
        <f aca="false">F18-E18</f>
        <v>-2194</v>
      </c>
      <c r="H18" s="17" t="n">
        <f aca="false">IFERROR(G18/E18,"")</f>
        <v>-0.045435719019218</v>
      </c>
      <c r="I18" s="26" t="str">
        <f aca="false">IF(F18&gt;E18*1.02,"Unfavourable",IF(F18&lt;E18*0.98,"Favourable","On Target"))</f>
        <v>Favourable</v>
      </c>
    </row>
    <row r="19" customFormat="false" ht="15" hidden="false" customHeight="true" outlineLevel="0" collapsed="false">
      <c r="A19" s="12" t="s">
        <v>53</v>
      </c>
      <c r="B19" s="12" t="s">
        <v>48</v>
      </c>
      <c r="C19" s="12" t="s">
        <v>93</v>
      </c>
      <c r="D19" s="12" t="s">
        <v>86</v>
      </c>
      <c r="E19" s="21" t="n">
        <v>18108</v>
      </c>
      <c r="F19" s="21" t="n">
        <v>18413</v>
      </c>
      <c r="G19" s="15" t="n">
        <f aca="false">F19-E19</f>
        <v>305</v>
      </c>
      <c r="H19" s="17" t="n">
        <f aca="false">IFERROR(G19/E19,"")</f>
        <v>0.0168433841396068</v>
      </c>
      <c r="I19" s="26" t="str">
        <f aca="false">IF(F19&gt;E19*1.02,"Unfavourable",IF(F19&lt;E19*0.98,"Favourable","On Target"))</f>
        <v>On Target</v>
      </c>
    </row>
    <row r="20" customFormat="false" ht="15" hidden="false" customHeight="true" outlineLevel="0" collapsed="false">
      <c r="A20" s="12" t="s">
        <v>53</v>
      </c>
      <c r="B20" s="12" t="s">
        <v>48</v>
      </c>
      <c r="C20" s="12" t="s">
        <v>94</v>
      </c>
      <c r="D20" s="12" t="s">
        <v>89</v>
      </c>
      <c r="E20" s="21" t="n">
        <v>15090</v>
      </c>
      <c r="F20" s="21" t="n">
        <v>15385</v>
      </c>
      <c r="G20" s="15" t="n">
        <f aca="false">F20-E20</f>
        <v>295</v>
      </c>
      <c r="H20" s="17" t="n">
        <f aca="false">IFERROR(G20/E20,"")</f>
        <v>0.0195493704440027</v>
      </c>
      <c r="I20" s="26" t="str">
        <f aca="false">IF(F20&gt;E20*1.02,"Unfavourable",IF(F20&lt;E20*0.98,"Favourable","On Target"))</f>
        <v>On Target</v>
      </c>
    </row>
    <row r="21" customFormat="false" ht="15" hidden="false" customHeight="true" outlineLevel="0" collapsed="false">
      <c r="A21" s="12" t="s">
        <v>53</v>
      </c>
      <c r="B21" s="12" t="s">
        <v>48</v>
      </c>
      <c r="C21" s="12" t="s">
        <v>95</v>
      </c>
      <c r="D21" s="12" t="s">
        <v>89</v>
      </c>
      <c r="E21" s="21" t="n">
        <v>12072</v>
      </c>
      <c r="F21" s="21" t="n">
        <v>12466</v>
      </c>
      <c r="G21" s="15" t="n">
        <f aca="false">F21-E21</f>
        <v>394</v>
      </c>
      <c r="H21" s="17" t="n">
        <f aca="false">IFERROR(G21/E21,"")</f>
        <v>0.0326375082836315</v>
      </c>
      <c r="I21" s="26" t="str">
        <f aca="false">IF(F21&gt;E21*1.02,"Unfavourable",IF(F21&lt;E21*0.98,"Favourable","On Target"))</f>
        <v>Unfavourable</v>
      </c>
    </row>
    <row r="22" customFormat="false" ht="15" hidden="false" customHeight="true" outlineLevel="0" collapsed="false">
      <c r="A22" s="12" t="s">
        <v>54</v>
      </c>
      <c r="B22" s="12" t="s">
        <v>48</v>
      </c>
      <c r="C22" s="12" t="s">
        <v>85</v>
      </c>
      <c r="D22" s="12" t="s">
        <v>86</v>
      </c>
      <c r="E22" s="21" t="n">
        <v>288420</v>
      </c>
      <c r="F22" s="21" t="n">
        <v>291103</v>
      </c>
      <c r="G22" s="15" t="n">
        <f aca="false">F22-E22</f>
        <v>2683</v>
      </c>
      <c r="H22" s="17" t="n">
        <f aca="false">IFERROR(G22/E22,"")</f>
        <v>0.00930240621316136</v>
      </c>
      <c r="I22" s="26" t="str">
        <f aca="false">IF(F22&gt;E22*1.02,"Unfavourable",IF(F22&lt;E22*0.98,"Favourable","On Target"))</f>
        <v>On Target</v>
      </c>
    </row>
    <row r="23" customFormat="false" ht="15" hidden="false" customHeight="true" outlineLevel="0" collapsed="false">
      <c r="A23" s="12" t="s">
        <v>54</v>
      </c>
      <c r="B23" s="12" t="s">
        <v>48</v>
      </c>
      <c r="C23" s="12" t="s">
        <v>87</v>
      </c>
      <c r="D23" s="12" t="s">
        <v>86</v>
      </c>
      <c r="E23" s="21" t="n">
        <v>96140</v>
      </c>
      <c r="F23" s="21" t="n">
        <v>91504</v>
      </c>
      <c r="G23" s="15" t="n">
        <f aca="false">F23-E23</f>
        <v>-4636</v>
      </c>
      <c r="H23" s="17" t="n">
        <f aca="false">IFERROR(G23/E23,"")</f>
        <v>-0.0482213438735178</v>
      </c>
      <c r="I23" s="26" t="str">
        <f aca="false">IF(F23&gt;E23*1.02,"Unfavourable",IF(F23&lt;E23*0.98,"Favourable","On Target"))</f>
        <v>Favourable</v>
      </c>
    </row>
    <row r="24" customFormat="false" ht="15" hidden="false" customHeight="true" outlineLevel="0" collapsed="false">
      <c r="A24" s="12" t="s">
        <v>54</v>
      </c>
      <c r="B24" s="12" t="s">
        <v>48</v>
      </c>
      <c r="C24" s="12" t="s">
        <v>88</v>
      </c>
      <c r="D24" s="12" t="s">
        <v>89</v>
      </c>
      <c r="E24" s="21" t="n">
        <v>32384</v>
      </c>
      <c r="F24" s="21" t="n">
        <v>32669</v>
      </c>
      <c r="G24" s="15" t="n">
        <f aca="false">F24-E24</f>
        <v>285</v>
      </c>
      <c r="H24" s="17" t="n">
        <f aca="false">IFERROR(G24/E24,"")</f>
        <v>0.00880064229249012</v>
      </c>
      <c r="I24" s="26" t="str">
        <f aca="false">IF(F24&gt;E24*1.02,"Unfavourable",IF(F24&lt;E24*0.98,"Favourable","On Target"))</f>
        <v>On Target</v>
      </c>
    </row>
    <row r="25" customFormat="false" ht="15" hidden="false" customHeight="true" outlineLevel="0" collapsed="false">
      <c r="A25" s="12" t="s">
        <v>54</v>
      </c>
      <c r="B25" s="12" t="s">
        <v>48</v>
      </c>
      <c r="C25" s="12" t="s">
        <v>90</v>
      </c>
      <c r="D25" s="12" t="s">
        <v>89</v>
      </c>
      <c r="E25" s="21" t="n">
        <v>55660</v>
      </c>
      <c r="F25" s="21" t="n">
        <v>57033</v>
      </c>
      <c r="G25" s="15" t="n">
        <f aca="false">F25-E25</f>
        <v>1373</v>
      </c>
      <c r="H25" s="17" t="n">
        <f aca="false">IFERROR(G25/E25,"")</f>
        <v>0.0246676248652533</v>
      </c>
      <c r="I25" s="26" t="str">
        <f aca="false">IF(F25&gt;E25*1.02,"Unfavourable",IF(F25&lt;E25*0.98,"Favourable","On Target"))</f>
        <v>Unfavourable</v>
      </c>
    </row>
    <row r="26" customFormat="false" ht="15" hidden="false" customHeight="true" outlineLevel="0" collapsed="false">
      <c r="A26" s="12" t="s">
        <v>54</v>
      </c>
      <c r="B26" s="12" t="s">
        <v>48</v>
      </c>
      <c r="C26" s="12" t="s">
        <v>91</v>
      </c>
      <c r="D26" s="12" t="s">
        <v>86</v>
      </c>
      <c r="E26" s="21" t="n">
        <v>28336</v>
      </c>
      <c r="F26" s="21" t="n">
        <v>28111</v>
      </c>
      <c r="G26" s="15" t="n">
        <f aca="false">F26-E26</f>
        <v>-225</v>
      </c>
      <c r="H26" s="17" t="n">
        <f aca="false">IFERROR(G26/E26,"")</f>
        <v>-0.00794042913608131</v>
      </c>
      <c r="I26" s="26" t="str">
        <f aca="false">IF(F26&gt;E26*1.02,"Unfavourable",IF(F26&lt;E26*0.98,"Favourable","On Target"))</f>
        <v>On Target</v>
      </c>
    </row>
    <row r="27" customFormat="false" ht="15" hidden="false" customHeight="true" outlineLevel="0" collapsed="false">
      <c r="A27" s="12" t="s">
        <v>54</v>
      </c>
      <c r="B27" s="12" t="s">
        <v>48</v>
      </c>
      <c r="C27" s="12" t="s">
        <v>92</v>
      </c>
      <c r="D27" s="12" t="s">
        <v>89</v>
      </c>
      <c r="E27" s="21" t="n">
        <v>48576</v>
      </c>
      <c r="F27" s="21" t="n">
        <v>47925</v>
      </c>
      <c r="G27" s="15" t="n">
        <f aca="false">F27-E27</f>
        <v>-651</v>
      </c>
      <c r="H27" s="17" t="n">
        <f aca="false">IFERROR(G27/E27,"")</f>
        <v>-0.0134016798418972</v>
      </c>
      <c r="I27" s="26" t="str">
        <f aca="false">IF(F27&gt;E27*1.02,"Unfavourable",IF(F27&lt;E27*0.98,"Favourable","On Target"))</f>
        <v>On Target</v>
      </c>
    </row>
    <row r="28" customFormat="false" ht="15" hidden="false" customHeight="true" outlineLevel="0" collapsed="false">
      <c r="A28" s="12" t="s">
        <v>54</v>
      </c>
      <c r="B28" s="12" t="s">
        <v>48</v>
      </c>
      <c r="C28" s="12" t="s">
        <v>93</v>
      </c>
      <c r="D28" s="12" t="s">
        <v>86</v>
      </c>
      <c r="E28" s="21" t="n">
        <v>18216</v>
      </c>
      <c r="F28" s="21" t="n">
        <v>18808</v>
      </c>
      <c r="G28" s="15" t="n">
        <f aca="false">F28-E28</f>
        <v>592</v>
      </c>
      <c r="H28" s="17" t="n">
        <f aca="false">IFERROR(G28/E28,"")</f>
        <v>0.0324989020641195</v>
      </c>
      <c r="I28" s="26" t="str">
        <f aca="false">IF(F28&gt;E28*1.02,"Unfavourable",IF(F28&lt;E28*0.98,"Favourable","On Target"))</f>
        <v>Unfavourable</v>
      </c>
    </row>
    <row r="29" customFormat="false" ht="15" hidden="false" customHeight="true" outlineLevel="0" collapsed="false">
      <c r="A29" s="12" t="s">
        <v>54</v>
      </c>
      <c r="B29" s="12" t="s">
        <v>48</v>
      </c>
      <c r="C29" s="12" t="s">
        <v>94</v>
      </c>
      <c r="D29" s="12" t="s">
        <v>89</v>
      </c>
      <c r="E29" s="21" t="n">
        <v>15180</v>
      </c>
      <c r="F29" s="21" t="n">
        <v>15036</v>
      </c>
      <c r="G29" s="15" t="n">
        <f aca="false">F29-E29</f>
        <v>-144</v>
      </c>
      <c r="H29" s="17" t="n">
        <f aca="false">IFERROR(G29/E29,"")</f>
        <v>-0.00948616600790514</v>
      </c>
      <c r="I29" s="26" t="str">
        <f aca="false">IF(F29&gt;E29*1.02,"Unfavourable",IF(F29&lt;E29*0.98,"Favourable","On Target"))</f>
        <v>On Target</v>
      </c>
    </row>
    <row r="30" customFormat="false" ht="15" hidden="false" customHeight="true" outlineLevel="0" collapsed="false">
      <c r="A30" s="12" t="s">
        <v>54</v>
      </c>
      <c r="B30" s="12" t="s">
        <v>48</v>
      </c>
      <c r="C30" s="12" t="s">
        <v>95</v>
      </c>
      <c r="D30" s="12" t="s">
        <v>89</v>
      </c>
      <c r="E30" s="21" t="n">
        <v>12144</v>
      </c>
      <c r="F30" s="21" t="n">
        <v>12167</v>
      </c>
      <c r="G30" s="15" t="n">
        <f aca="false">F30-E30</f>
        <v>23</v>
      </c>
      <c r="H30" s="17" t="n">
        <f aca="false">IFERROR(G30/E30,"")</f>
        <v>0.00189393939393939</v>
      </c>
      <c r="I30" s="26" t="str">
        <f aca="false">IF(F30&gt;E30*1.02,"Unfavourable",IF(F30&lt;E30*0.98,"Favourable","On Target"))</f>
        <v>On Target</v>
      </c>
    </row>
    <row r="31" customFormat="false" ht="15" hidden="false" customHeight="true" outlineLevel="0" collapsed="false">
      <c r="A31" s="12" t="s">
        <v>55</v>
      </c>
      <c r="B31" s="12" t="s">
        <v>56</v>
      </c>
      <c r="C31" s="12" t="s">
        <v>85</v>
      </c>
      <c r="D31" s="12" t="s">
        <v>86</v>
      </c>
      <c r="E31" s="21" t="n">
        <v>290130</v>
      </c>
      <c r="F31" s="21" t="n">
        <v>290249</v>
      </c>
      <c r="G31" s="15" t="n">
        <f aca="false">F31-E31</f>
        <v>119</v>
      </c>
      <c r="H31" s="17" t="n">
        <f aca="false">IFERROR(G31/E31,"")</f>
        <v>0.000410160962327233</v>
      </c>
      <c r="I31" s="26" t="str">
        <f aca="false">IF(F31&gt;E31*1.02,"Unfavourable",IF(F31&lt;E31*0.98,"Favourable","On Target"))</f>
        <v>On Target</v>
      </c>
    </row>
    <row r="32" customFormat="false" ht="15" hidden="false" customHeight="true" outlineLevel="0" collapsed="false">
      <c r="A32" s="12" t="s">
        <v>55</v>
      </c>
      <c r="B32" s="12" t="s">
        <v>56</v>
      </c>
      <c r="C32" s="12" t="s">
        <v>87</v>
      </c>
      <c r="D32" s="12" t="s">
        <v>86</v>
      </c>
      <c r="E32" s="21" t="n">
        <v>96710</v>
      </c>
      <c r="F32" s="21" t="n">
        <v>97246</v>
      </c>
      <c r="G32" s="15" t="n">
        <f aca="false">F32-E32</f>
        <v>536</v>
      </c>
      <c r="H32" s="17" t="n">
        <f aca="false">IFERROR(G32/E32,"")</f>
        <v>0.00554234308758143</v>
      </c>
      <c r="I32" s="26" t="str">
        <f aca="false">IF(F32&gt;E32*1.02,"Unfavourable",IF(F32&lt;E32*0.98,"Favourable","On Target"))</f>
        <v>On Target</v>
      </c>
    </row>
    <row r="33" customFormat="false" ht="15" hidden="false" customHeight="true" outlineLevel="0" collapsed="false">
      <c r="A33" s="12" t="s">
        <v>55</v>
      </c>
      <c r="B33" s="12" t="s">
        <v>56</v>
      </c>
      <c r="C33" s="12" t="s">
        <v>88</v>
      </c>
      <c r="D33" s="12" t="s">
        <v>89</v>
      </c>
      <c r="E33" s="21" t="n">
        <v>32576</v>
      </c>
      <c r="F33" s="21" t="n">
        <v>35135</v>
      </c>
      <c r="G33" s="15" t="n">
        <f aca="false">F33-E33</f>
        <v>2559</v>
      </c>
      <c r="H33" s="17" t="n">
        <f aca="false">IFERROR(G33/E33,"")</f>
        <v>0.0785547642436149</v>
      </c>
      <c r="I33" s="26" t="str">
        <f aca="false">IF(F33&gt;E33*1.02,"Unfavourable",IF(F33&lt;E33*0.98,"Favourable","On Target"))</f>
        <v>Unfavourable</v>
      </c>
    </row>
    <row r="34" customFormat="false" ht="15" hidden="false" customHeight="true" outlineLevel="0" collapsed="false">
      <c r="A34" s="12" t="s">
        <v>55</v>
      </c>
      <c r="B34" s="12" t="s">
        <v>56</v>
      </c>
      <c r="C34" s="12" t="s">
        <v>90</v>
      </c>
      <c r="D34" s="12" t="s">
        <v>89</v>
      </c>
      <c r="E34" s="21" t="n">
        <v>55990</v>
      </c>
      <c r="F34" s="21" t="n">
        <v>59176</v>
      </c>
      <c r="G34" s="15" t="n">
        <f aca="false">F34-E34</f>
        <v>3186</v>
      </c>
      <c r="H34" s="17" t="n">
        <f aca="false">IFERROR(G34/E34,"")</f>
        <v>0.0569030183961422</v>
      </c>
      <c r="I34" s="26" t="str">
        <f aca="false">IF(F34&gt;E34*1.02,"Unfavourable",IF(F34&lt;E34*0.98,"Favourable","On Target"))</f>
        <v>Unfavourable</v>
      </c>
    </row>
    <row r="35" customFormat="false" ht="15" hidden="false" customHeight="true" outlineLevel="0" collapsed="false">
      <c r="A35" s="12" t="s">
        <v>55</v>
      </c>
      <c r="B35" s="12" t="s">
        <v>56</v>
      </c>
      <c r="C35" s="12" t="s">
        <v>91</v>
      </c>
      <c r="D35" s="12" t="s">
        <v>86</v>
      </c>
      <c r="E35" s="21" t="n">
        <v>28504</v>
      </c>
      <c r="F35" s="21" t="n">
        <v>30830</v>
      </c>
      <c r="G35" s="15" t="n">
        <f aca="false">F35-E35</f>
        <v>2326</v>
      </c>
      <c r="H35" s="17" t="n">
        <f aca="false">IFERROR(G35/E35,"")</f>
        <v>0.0816025820937412</v>
      </c>
      <c r="I35" s="26" t="str">
        <f aca="false">IF(F35&gt;E35*1.02,"Unfavourable",IF(F35&lt;E35*0.98,"Favourable","On Target"))</f>
        <v>Unfavourable</v>
      </c>
    </row>
    <row r="36" customFormat="false" ht="15" hidden="false" customHeight="true" outlineLevel="0" collapsed="false">
      <c r="A36" s="12" t="s">
        <v>55</v>
      </c>
      <c r="B36" s="12" t="s">
        <v>56</v>
      </c>
      <c r="C36" s="12" t="s">
        <v>92</v>
      </c>
      <c r="D36" s="12" t="s">
        <v>89</v>
      </c>
      <c r="E36" s="21" t="n">
        <v>48864</v>
      </c>
      <c r="F36" s="21" t="n">
        <v>55006</v>
      </c>
      <c r="G36" s="15" t="n">
        <f aca="false">F36-E36</f>
        <v>6142</v>
      </c>
      <c r="H36" s="17" t="n">
        <f aca="false">IFERROR(G36/E36,"")</f>
        <v>0.125695808775377</v>
      </c>
      <c r="I36" s="26" t="str">
        <f aca="false">IF(F36&gt;E36*1.02,"Unfavourable",IF(F36&lt;E36*0.98,"Favourable","On Target"))</f>
        <v>Unfavourable</v>
      </c>
    </row>
    <row r="37" customFormat="false" ht="15" hidden="false" customHeight="true" outlineLevel="0" collapsed="false">
      <c r="A37" s="12" t="s">
        <v>55</v>
      </c>
      <c r="B37" s="12" t="s">
        <v>56</v>
      </c>
      <c r="C37" s="12" t="s">
        <v>93</v>
      </c>
      <c r="D37" s="12" t="s">
        <v>86</v>
      </c>
      <c r="E37" s="21" t="n">
        <v>18324</v>
      </c>
      <c r="F37" s="21" t="n">
        <v>18903</v>
      </c>
      <c r="G37" s="15" t="n">
        <f aca="false">F37-E37</f>
        <v>579</v>
      </c>
      <c r="H37" s="17" t="n">
        <f aca="false">IFERROR(G37/E37,"")</f>
        <v>0.0315979043876883</v>
      </c>
      <c r="I37" s="26" t="str">
        <f aca="false">IF(F37&gt;E37*1.02,"Unfavourable",IF(F37&lt;E37*0.98,"Favourable","On Target"))</f>
        <v>Unfavourable</v>
      </c>
    </row>
    <row r="38" customFormat="false" ht="15" hidden="false" customHeight="true" outlineLevel="0" collapsed="false">
      <c r="A38" s="12" t="s">
        <v>55</v>
      </c>
      <c r="B38" s="12" t="s">
        <v>56</v>
      </c>
      <c r="C38" s="12" t="s">
        <v>94</v>
      </c>
      <c r="D38" s="12" t="s">
        <v>89</v>
      </c>
      <c r="E38" s="21" t="n">
        <v>15270</v>
      </c>
      <c r="F38" s="21" t="n">
        <v>15618</v>
      </c>
      <c r="G38" s="15" t="n">
        <f aca="false">F38-E38</f>
        <v>348</v>
      </c>
      <c r="H38" s="17" t="n">
        <f aca="false">IFERROR(G38/E38,"")</f>
        <v>0.0227897838899804</v>
      </c>
      <c r="I38" s="26" t="str">
        <f aca="false">IF(F38&gt;E38*1.02,"Unfavourable",IF(F38&lt;E38*0.98,"Favourable","On Target"))</f>
        <v>Unfavourable</v>
      </c>
    </row>
    <row r="39" customFormat="false" ht="15" hidden="false" customHeight="true" outlineLevel="0" collapsed="false">
      <c r="A39" s="12" t="s">
        <v>55</v>
      </c>
      <c r="B39" s="12" t="s">
        <v>56</v>
      </c>
      <c r="C39" s="12" t="s">
        <v>95</v>
      </c>
      <c r="D39" s="12" t="s">
        <v>89</v>
      </c>
      <c r="E39" s="21" t="n">
        <v>12216</v>
      </c>
      <c r="F39" s="21" t="n">
        <v>11821</v>
      </c>
      <c r="G39" s="15" t="n">
        <f aca="false">F39-E39</f>
        <v>-395</v>
      </c>
      <c r="H39" s="17" t="n">
        <f aca="false">IFERROR(G39/E39,"")</f>
        <v>-0.0323346430910282</v>
      </c>
      <c r="I39" s="26" t="str">
        <f aca="false">IF(F39&gt;E39*1.02,"Unfavourable",IF(F39&lt;E39*0.98,"Favourable","On Target"))</f>
        <v>Favourable</v>
      </c>
    </row>
    <row r="40" customFormat="false" ht="15" hidden="false" customHeight="true" outlineLevel="0" collapsed="false">
      <c r="A40" s="12" t="s">
        <v>57</v>
      </c>
      <c r="B40" s="12" t="s">
        <v>56</v>
      </c>
      <c r="C40" s="12" t="s">
        <v>85</v>
      </c>
      <c r="D40" s="12" t="s">
        <v>86</v>
      </c>
      <c r="E40" s="21" t="n">
        <v>291840</v>
      </c>
      <c r="F40" s="21" t="n">
        <v>293700</v>
      </c>
      <c r="G40" s="15" t="n">
        <f aca="false">F40-E40</f>
        <v>1860</v>
      </c>
      <c r="H40" s="17" t="n">
        <f aca="false">IFERROR(G40/E40,"")</f>
        <v>0.0063733552631579</v>
      </c>
      <c r="I40" s="26" t="str">
        <f aca="false">IF(F40&gt;E40*1.02,"Unfavourable",IF(F40&lt;E40*0.98,"Favourable","On Target"))</f>
        <v>On Target</v>
      </c>
    </row>
    <row r="41" customFormat="false" ht="15" hidden="false" customHeight="true" outlineLevel="0" collapsed="false">
      <c r="A41" s="12" t="s">
        <v>57</v>
      </c>
      <c r="B41" s="12" t="s">
        <v>56</v>
      </c>
      <c r="C41" s="12" t="s">
        <v>87</v>
      </c>
      <c r="D41" s="12" t="s">
        <v>86</v>
      </c>
      <c r="E41" s="21" t="n">
        <v>97280</v>
      </c>
      <c r="F41" s="21" t="n">
        <v>98038</v>
      </c>
      <c r="G41" s="15" t="n">
        <f aca="false">F41-E41</f>
        <v>758</v>
      </c>
      <c r="H41" s="17" t="n">
        <f aca="false">IFERROR(G41/E41,"")</f>
        <v>0.00779194078947368</v>
      </c>
      <c r="I41" s="26" t="str">
        <f aca="false">IF(F41&gt;E41*1.02,"Unfavourable",IF(F41&lt;E41*0.98,"Favourable","On Target"))</f>
        <v>On Target</v>
      </c>
    </row>
    <row r="42" customFormat="false" ht="15" hidden="false" customHeight="true" outlineLevel="0" collapsed="false">
      <c r="A42" s="12" t="s">
        <v>57</v>
      </c>
      <c r="B42" s="12" t="s">
        <v>56</v>
      </c>
      <c r="C42" s="12" t="s">
        <v>88</v>
      </c>
      <c r="D42" s="12" t="s">
        <v>89</v>
      </c>
      <c r="E42" s="21" t="n">
        <v>32768</v>
      </c>
      <c r="F42" s="21" t="n">
        <v>37879</v>
      </c>
      <c r="G42" s="15" t="n">
        <f aca="false">F42-E42</f>
        <v>5111</v>
      </c>
      <c r="H42" s="17" t="n">
        <f aca="false">IFERROR(G42/E42,"")</f>
        <v>0.155975341796875</v>
      </c>
      <c r="I42" s="26" t="str">
        <f aca="false">IF(F42&gt;E42*1.02,"Unfavourable",IF(F42&lt;E42*0.98,"Favourable","On Target"))</f>
        <v>Unfavourable</v>
      </c>
    </row>
    <row r="43" customFormat="false" ht="15" hidden="false" customHeight="true" outlineLevel="0" collapsed="false">
      <c r="A43" s="12" t="s">
        <v>57</v>
      </c>
      <c r="B43" s="12" t="s">
        <v>56</v>
      </c>
      <c r="C43" s="12" t="s">
        <v>90</v>
      </c>
      <c r="D43" s="12" t="s">
        <v>89</v>
      </c>
      <c r="E43" s="21" t="n">
        <v>56320</v>
      </c>
      <c r="F43" s="21" t="n">
        <v>55905</v>
      </c>
      <c r="G43" s="15" t="n">
        <f aca="false">F43-E43</f>
        <v>-415</v>
      </c>
      <c r="H43" s="17" t="n">
        <f aca="false">IFERROR(G43/E43,"")</f>
        <v>-0.00736860795454546</v>
      </c>
      <c r="I43" s="26" t="str">
        <f aca="false">IF(F43&gt;E43*1.02,"Unfavourable",IF(F43&lt;E43*0.98,"Favourable","On Target"))</f>
        <v>On Target</v>
      </c>
    </row>
    <row r="44" customFormat="false" ht="15" hidden="false" customHeight="true" outlineLevel="0" collapsed="false">
      <c r="A44" s="12" t="s">
        <v>57</v>
      </c>
      <c r="B44" s="12" t="s">
        <v>56</v>
      </c>
      <c r="C44" s="12" t="s">
        <v>91</v>
      </c>
      <c r="D44" s="12" t="s">
        <v>86</v>
      </c>
      <c r="E44" s="21" t="n">
        <v>28672</v>
      </c>
      <c r="F44" s="21" t="n">
        <v>29210</v>
      </c>
      <c r="G44" s="15" t="n">
        <f aca="false">F44-E44</f>
        <v>538</v>
      </c>
      <c r="H44" s="17" t="n">
        <f aca="false">IFERROR(G44/E44,"")</f>
        <v>0.0187639508928571</v>
      </c>
      <c r="I44" s="26" t="str">
        <f aca="false">IF(F44&gt;E44*1.02,"Unfavourable",IF(F44&lt;E44*0.98,"Favourable","On Target"))</f>
        <v>On Target</v>
      </c>
    </row>
    <row r="45" customFormat="false" ht="15" hidden="false" customHeight="true" outlineLevel="0" collapsed="false">
      <c r="A45" s="12" t="s">
        <v>57</v>
      </c>
      <c r="B45" s="12" t="s">
        <v>56</v>
      </c>
      <c r="C45" s="12" t="s">
        <v>92</v>
      </c>
      <c r="D45" s="12" t="s">
        <v>89</v>
      </c>
      <c r="E45" s="21" t="n">
        <v>49152</v>
      </c>
      <c r="F45" s="21" t="n">
        <v>54383</v>
      </c>
      <c r="G45" s="15" t="n">
        <f aca="false">F45-E45</f>
        <v>5231</v>
      </c>
      <c r="H45" s="17" t="n">
        <f aca="false">IFERROR(G45/E45,"")</f>
        <v>0.106424967447917</v>
      </c>
      <c r="I45" s="26" t="str">
        <f aca="false">IF(F45&gt;E45*1.02,"Unfavourable",IF(F45&lt;E45*0.98,"Favourable","On Target"))</f>
        <v>Unfavourable</v>
      </c>
    </row>
    <row r="46" customFormat="false" ht="15" hidden="false" customHeight="true" outlineLevel="0" collapsed="false">
      <c r="A46" s="12" t="s">
        <v>57</v>
      </c>
      <c r="B46" s="12" t="s">
        <v>56</v>
      </c>
      <c r="C46" s="12" t="s">
        <v>93</v>
      </c>
      <c r="D46" s="12" t="s">
        <v>86</v>
      </c>
      <c r="E46" s="21" t="n">
        <v>18432</v>
      </c>
      <c r="F46" s="21" t="n">
        <v>17670</v>
      </c>
      <c r="G46" s="15" t="n">
        <f aca="false">F46-E46</f>
        <v>-762</v>
      </c>
      <c r="H46" s="17" t="n">
        <f aca="false">IFERROR(G46/E46,"")</f>
        <v>-0.0413411458333333</v>
      </c>
      <c r="I46" s="26" t="str">
        <f aca="false">IF(F46&gt;E46*1.02,"Unfavourable",IF(F46&lt;E46*0.98,"Favourable","On Target"))</f>
        <v>Favourable</v>
      </c>
    </row>
    <row r="47" customFormat="false" ht="15" hidden="false" customHeight="true" outlineLevel="0" collapsed="false">
      <c r="A47" s="12" t="s">
        <v>57</v>
      </c>
      <c r="B47" s="12" t="s">
        <v>56</v>
      </c>
      <c r="C47" s="12" t="s">
        <v>94</v>
      </c>
      <c r="D47" s="12" t="s">
        <v>89</v>
      </c>
      <c r="E47" s="21" t="n">
        <v>15360</v>
      </c>
      <c r="F47" s="21" t="n">
        <v>15004</v>
      </c>
      <c r="G47" s="15" t="n">
        <f aca="false">F47-E47</f>
        <v>-356</v>
      </c>
      <c r="H47" s="17" t="n">
        <f aca="false">IFERROR(G47/E47,"")</f>
        <v>-0.0231770833333333</v>
      </c>
      <c r="I47" s="26" t="str">
        <f aca="false">IF(F47&gt;E47*1.02,"Unfavourable",IF(F47&lt;E47*0.98,"Favourable","On Target"))</f>
        <v>Favourable</v>
      </c>
    </row>
    <row r="48" customFormat="false" ht="15" hidden="false" customHeight="true" outlineLevel="0" collapsed="false">
      <c r="A48" s="12" t="s">
        <v>57</v>
      </c>
      <c r="B48" s="12" t="s">
        <v>56</v>
      </c>
      <c r="C48" s="12" t="s">
        <v>95</v>
      </c>
      <c r="D48" s="12" t="s">
        <v>89</v>
      </c>
      <c r="E48" s="21" t="n">
        <v>12288</v>
      </c>
      <c r="F48" s="21" t="n">
        <v>12024</v>
      </c>
      <c r="G48" s="15" t="n">
        <f aca="false">F48-E48</f>
        <v>-264</v>
      </c>
      <c r="H48" s="17" t="n">
        <f aca="false">IFERROR(G48/E48,"")</f>
        <v>-0.021484375</v>
      </c>
      <c r="I48" s="26" t="str">
        <f aca="false">IF(F48&gt;E48*1.02,"Unfavourable",IF(F48&lt;E48*0.98,"Favourable","On Target"))</f>
        <v>Favourable</v>
      </c>
    </row>
    <row r="49" customFormat="false" ht="15" hidden="false" customHeight="true" outlineLevel="0" collapsed="false">
      <c r="A49" s="12" t="s">
        <v>58</v>
      </c>
      <c r="B49" s="12" t="s">
        <v>56</v>
      </c>
      <c r="C49" s="12" t="s">
        <v>85</v>
      </c>
      <c r="D49" s="12" t="s">
        <v>86</v>
      </c>
      <c r="E49" s="21" t="n">
        <v>293550</v>
      </c>
      <c r="F49" s="21" t="n">
        <v>294384</v>
      </c>
      <c r="G49" s="15" t="n">
        <f aca="false">F49-E49</f>
        <v>834</v>
      </c>
      <c r="H49" s="17" t="n">
        <f aca="false">IFERROR(G49/E49,"")</f>
        <v>0.00284108329075115</v>
      </c>
      <c r="I49" s="26" t="str">
        <f aca="false">IF(F49&gt;E49*1.02,"Unfavourable",IF(F49&lt;E49*0.98,"Favourable","On Target"))</f>
        <v>On Target</v>
      </c>
    </row>
    <row r="50" customFormat="false" ht="15" hidden="false" customHeight="true" outlineLevel="0" collapsed="false">
      <c r="A50" s="12" t="s">
        <v>58</v>
      </c>
      <c r="B50" s="12" t="s">
        <v>56</v>
      </c>
      <c r="C50" s="12" t="s">
        <v>87</v>
      </c>
      <c r="D50" s="12" t="s">
        <v>86</v>
      </c>
      <c r="E50" s="21" t="n">
        <v>97850</v>
      </c>
      <c r="F50" s="21" t="n">
        <v>100145</v>
      </c>
      <c r="G50" s="15" t="n">
        <f aca="false">F50-E50</f>
        <v>2295</v>
      </c>
      <c r="H50" s="17" t="n">
        <f aca="false">IFERROR(G50/E50,"")</f>
        <v>0.0234542667347982</v>
      </c>
      <c r="I50" s="26" t="str">
        <f aca="false">IF(F50&gt;E50*1.02,"Unfavourable",IF(F50&lt;E50*0.98,"Favourable","On Target"))</f>
        <v>Unfavourable</v>
      </c>
    </row>
    <row r="51" customFormat="false" ht="15" hidden="false" customHeight="true" outlineLevel="0" collapsed="false">
      <c r="A51" s="12" t="s">
        <v>58</v>
      </c>
      <c r="B51" s="12" t="s">
        <v>56</v>
      </c>
      <c r="C51" s="12" t="s">
        <v>88</v>
      </c>
      <c r="D51" s="12" t="s">
        <v>89</v>
      </c>
      <c r="E51" s="21" t="n">
        <v>32960</v>
      </c>
      <c r="F51" s="21" t="n">
        <v>33429</v>
      </c>
      <c r="G51" s="15" t="n">
        <f aca="false">F51-E51</f>
        <v>469</v>
      </c>
      <c r="H51" s="17" t="n">
        <f aca="false">IFERROR(G51/E51,"")</f>
        <v>0.0142293689320388</v>
      </c>
      <c r="I51" s="26" t="str">
        <f aca="false">IF(F51&gt;E51*1.02,"Unfavourable",IF(F51&lt;E51*0.98,"Favourable","On Target"))</f>
        <v>On Target</v>
      </c>
    </row>
    <row r="52" customFormat="false" ht="15" hidden="false" customHeight="true" outlineLevel="0" collapsed="false">
      <c r="A52" s="12" t="s">
        <v>58</v>
      </c>
      <c r="B52" s="12" t="s">
        <v>56</v>
      </c>
      <c r="C52" s="12" t="s">
        <v>90</v>
      </c>
      <c r="D52" s="12" t="s">
        <v>89</v>
      </c>
      <c r="E52" s="21" t="n">
        <v>56650</v>
      </c>
      <c r="F52" s="21" t="n">
        <v>55369</v>
      </c>
      <c r="G52" s="15" t="n">
        <f aca="false">F52-E52</f>
        <v>-1281</v>
      </c>
      <c r="H52" s="17" t="n">
        <f aca="false">IFERROR(G52/E52,"")</f>
        <v>-0.02261253309797</v>
      </c>
      <c r="I52" s="26" t="str">
        <f aca="false">IF(F52&gt;E52*1.02,"Unfavourable",IF(F52&lt;E52*0.98,"Favourable","On Target"))</f>
        <v>Favourable</v>
      </c>
    </row>
    <row r="53" customFormat="false" ht="15" hidden="false" customHeight="true" outlineLevel="0" collapsed="false">
      <c r="A53" s="12" t="s">
        <v>58</v>
      </c>
      <c r="B53" s="12" t="s">
        <v>56</v>
      </c>
      <c r="C53" s="12" t="s">
        <v>91</v>
      </c>
      <c r="D53" s="12" t="s">
        <v>86</v>
      </c>
      <c r="E53" s="21" t="n">
        <v>28840</v>
      </c>
      <c r="F53" s="21" t="n">
        <v>28098</v>
      </c>
      <c r="G53" s="15" t="n">
        <f aca="false">F53-E53</f>
        <v>-742</v>
      </c>
      <c r="H53" s="17" t="n">
        <f aca="false">IFERROR(G53/E53,"")</f>
        <v>-0.0257281553398058</v>
      </c>
      <c r="I53" s="26" t="str">
        <f aca="false">IF(F53&gt;E53*1.02,"Unfavourable",IF(F53&lt;E53*0.98,"Favourable","On Target"))</f>
        <v>Favourable</v>
      </c>
    </row>
    <row r="54" customFormat="false" ht="15" hidden="false" customHeight="true" outlineLevel="0" collapsed="false">
      <c r="A54" s="12" t="s">
        <v>58</v>
      </c>
      <c r="B54" s="12" t="s">
        <v>56</v>
      </c>
      <c r="C54" s="12" t="s">
        <v>92</v>
      </c>
      <c r="D54" s="12" t="s">
        <v>89</v>
      </c>
      <c r="E54" s="21" t="n">
        <v>49440</v>
      </c>
      <c r="F54" s="21" t="n">
        <v>47592</v>
      </c>
      <c r="G54" s="15" t="n">
        <f aca="false">F54-E54</f>
        <v>-1848</v>
      </c>
      <c r="H54" s="17" t="n">
        <f aca="false">IFERROR(G54/E54,"")</f>
        <v>-0.037378640776699</v>
      </c>
      <c r="I54" s="26" t="str">
        <f aca="false">IF(F54&gt;E54*1.02,"Unfavourable",IF(F54&lt;E54*0.98,"Favourable","On Target"))</f>
        <v>Favourable</v>
      </c>
    </row>
    <row r="55" customFormat="false" ht="15" hidden="false" customHeight="true" outlineLevel="0" collapsed="false">
      <c r="A55" s="12" t="s">
        <v>58</v>
      </c>
      <c r="B55" s="12" t="s">
        <v>56</v>
      </c>
      <c r="C55" s="12" t="s">
        <v>93</v>
      </c>
      <c r="D55" s="12" t="s">
        <v>86</v>
      </c>
      <c r="E55" s="21" t="n">
        <v>18540</v>
      </c>
      <c r="F55" s="21" t="n">
        <v>18018</v>
      </c>
      <c r="G55" s="15" t="n">
        <f aca="false">F55-E55</f>
        <v>-522</v>
      </c>
      <c r="H55" s="17" t="n">
        <f aca="false">IFERROR(G55/E55,"")</f>
        <v>-0.0281553398058252</v>
      </c>
      <c r="I55" s="26" t="str">
        <f aca="false">IF(F55&gt;E55*1.02,"Unfavourable",IF(F55&lt;E55*0.98,"Favourable","On Target"))</f>
        <v>Favourable</v>
      </c>
    </row>
    <row r="56" customFormat="false" ht="15" hidden="false" customHeight="true" outlineLevel="0" collapsed="false">
      <c r="A56" s="12" t="s">
        <v>58</v>
      </c>
      <c r="B56" s="12" t="s">
        <v>56</v>
      </c>
      <c r="C56" s="12" t="s">
        <v>94</v>
      </c>
      <c r="D56" s="12" t="s">
        <v>89</v>
      </c>
      <c r="E56" s="21" t="n">
        <v>15450</v>
      </c>
      <c r="F56" s="21" t="n">
        <v>15340</v>
      </c>
      <c r="G56" s="15" t="n">
        <f aca="false">F56-E56</f>
        <v>-110</v>
      </c>
      <c r="H56" s="17" t="n">
        <f aca="false">IFERROR(G56/E56,"")</f>
        <v>-0.00711974110032363</v>
      </c>
      <c r="I56" s="26" t="str">
        <f aca="false">IF(F56&gt;E56*1.02,"Unfavourable",IF(F56&lt;E56*0.98,"Favourable","On Target"))</f>
        <v>On Target</v>
      </c>
    </row>
    <row r="57" customFormat="false" ht="15" hidden="false" customHeight="true" outlineLevel="0" collapsed="false">
      <c r="A57" s="12" t="s">
        <v>58</v>
      </c>
      <c r="B57" s="12" t="s">
        <v>56</v>
      </c>
      <c r="C57" s="12" t="s">
        <v>95</v>
      </c>
      <c r="D57" s="12" t="s">
        <v>89</v>
      </c>
      <c r="E57" s="21" t="n">
        <v>12360</v>
      </c>
      <c r="F57" s="21" t="n">
        <v>12612</v>
      </c>
      <c r="G57" s="15" t="n">
        <f aca="false">F57-E57</f>
        <v>252</v>
      </c>
      <c r="H57" s="17" t="n">
        <f aca="false">IFERROR(G57/E57,"")</f>
        <v>0.0203883495145631</v>
      </c>
      <c r="I57" s="26" t="str">
        <f aca="false">IF(F57&gt;E57*1.02,"Unfavourable",IF(F57&lt;E57*0.98,"Favourable","On Target"))</f>
        <v>Unfavourable</v>
      </c>
    </row>
    <row r="58" customFormat="false" ht="15" hidden="false" customHeight="true" outlineLevel="0" collapsed="false">
      <c r="A58" s="12" t="s">
        <v>59</v>
      </c>
      <c r="B58" s="12" t="s">
        <v>60</v>
      </c>
      <c r="C58" s="12" t="s">
        <v>85</v>
      </c>
      <c r="D58" s="12" t="s">
        <v>86</v>
      </c>
      <c r="E58" s="21" t="n">
        <v>295260</v>
      </c>
      <c r="F58" s="21" t="n">
        <v>296889</v>
      </c>
      <c r="G58" s="15" t="n">
        <f aca="false">F58-E58</f>
        <v>1629</v>
      </c>
      <c r="H58" s="17" t="n">
        <f aca="false">IFERROR(G58/E58,"")</f>
        <v>0.00551717130664499</v>
      </c>
      <c r="I58" s="26" t="str">
        <f aca="false">IF(F58&gt;E58*1.02,"Unfavourable",IF(F58&lt;E58*0.98,"Favourable","On Target"))</f>
        <v>On Target</v>
      </c>
    </row>
    <row r="59" customFormat="false" ht="15" hidden="false" customHeight="true" outlineLevel="0" collapsed="false">
      <c r="A59" s="12" t="s">
        <v>59</v>
      </c>
      <c r="B59" s="12" t="s">
        <v>60</v>
      </c>
      <c r="C59" s="12" t="s">
        <v>87</v>
      </c>
      <c r="D59" s="12" t="s">
        <v>86</v>
      </c>
      <c r="E59" s="21" t="n">
        <v>98420</v>
      </c>
      <c r="F59" s="21" t="n">
        <v>94768</v>
      </c>
      <c r="G59" s="15" t="n">
        <f aca="false">F59-E59</f>
        <v>-3652</v>
      </c>
      <c r="H59" s="17" t="n">
        <f aca="false">IFERROR(G59/E59,"")</f>
        <v>-0.0371062792115424</v>
      </c>
      <c r="I59" s="26" t="str">
        <f aca="false">IF(F59&gt;E59*1.02,"Unfavourable",IF(F59&lt;E59*0.98,"Favourable","On Target"))</f>
        <v>Favourable</v>
      </c>
    </row>
    <row r="60" customFormat="false" ht="15" hidden="false" customHeight="true" outlineLevel="0" collapsed="false">
      <c r="A60" s="12" t="s">
        <v>59</v>
      </c>
      <c r="B60" s="12" t="s">
        <v>60</v>
      </c>
      <c r="C60" s="12" t="s">
        <v>88</v>
      </c>
      <c r="D60" s="12" t="s">
        <v>89</v>
      </c>
      <c r="E60" s="21" t="n">
        <v>37130</v>
      </c>
      <c r="F60" s="21" t="n">
        <v>35803</v>
      </c>
      <c r="G60" s="15" t="n">
        <f aca="false">F60-E60</f>
        <v>-1327</v>
      </c>
      <c r="H60" s="17" t="n">
        <f aca="false">IFERROR(G60/E60,"")</f>
        <v>-0.0357392943711285</v>
      </c>
      <c r="I60" s="26" t="str">
        <f aca="false">IF(F60&gt;E60*1.02,"Unfavourable",IF(F60&lt;E60*0.98,"Favourable","On Target"))</f>
        <v>Favourable</v>
      </c>
    </row>
    <row r="61" customFormat="false" ht="15" hidden="false" customHeight="true" outlineLevel="0" collapsed="false">
      <c r="A61" s="12" t="s">
        <v>59</v>
      </c>
      <c r="B61" s="12" t="s">
        <v>60</v>
      </c>
      <c r="C61" s="12" t="s">
        <v>90</v>
      </c>
      <c r="D61" s="12" t="s">
        <v>89</v>
      </c>
      <c r="E61" s="21" t="n">
        <v>76923</v>
      </c>
      <c r="F61" s="21" t="n">
        <v>78716</v>
      </c>
      <c r="G61" s="15" t="n">
        <f aca="false">F61-E61</f>
        <v>1793</v>
      </c>
      <c r="H61" s="17" t="n">
        <f aca="false">IFERROR(G61/E61,"")</f>
        <v>0.0233090233090233</v>
      </c>
      <c r="I61" s="26" t="str">
        <f aca="false">IF(F61&gt;E61*1.02,"Unfavourable",IF(F61&lt;E61*0.98,"Favourable","On Target"))</f>
        <v>Unfavourable</v>
      </c>
    </row>
    <row r="62" customFormat="false" ht="15" hidden="false" customHeight="true" outlineLevel="0" collapsed="false">
      <c r="A62" s="12" t="s">
        <v>59</v>
      </c>
      <c r="B62" s="12" t="s">
        <v>60</v>
      </c>
      <c r="C62" s="12" t="s">
        <v>91</v>
      </c>
      <c r="D62" s="12" t="s">
        <v>86</v>
      </c>
      <c r="E62" s="21" t="n">
        <v>29008</v>
      </c>
      <c r="F62" s="21" t="n">
        <v>28076</v>
      </c>
      <c r="G62" s="15" t="n">
        <f aca="false">F62-E62</f>
        <v>-932</v>
      </c>
      <c r="H62" s="17" t="n">
        <f aca="false">IFERROR(G62/E62,"")</f>
        <v>-0.0321290678433536</v>
      </c>
      <c r="I62" s="26" t="str">
        <f aca="false">IF(F62&gt;E62*1.02,"Unfavourable",IF(F62&lt;E62*0.98,"Favourable","On Target"))</f>
        <v>Favourable</v>
      </c>
    </row>
    <row r="63" customFormat="false" ht="15" hidden="false" customHeight="true" outlineLevel="0" collapsed="false">
      <c r="A63" s="12" t="s">
        <v>59</v>
      </c>
      <c r="B63" s="12" t="s">
        <v>60</v>
      </c>
      <c r="C63" s="12" t="s">
        <v>92</v>
      </c>
      <c r="D63" s="12" t="s">
        <v>89</v>
      </c>
      <c r="E63" s="21" t="n">
        <v>55695</v>
      </c>
      <c r="F63" s="21" t="n">
        <v>55984</v>
      </c>
      <c r="G63" s="15" t="n">
        <f aca="false">F63-E63</f>
        <v>289</v>
      </c>
      <c r="H63" s="17" t="n">
        <f aca="false">IFERROR(G63/E63,"")</f>
        <v>0.00518897567106563</v>
      </c>
      <c r="I63" s="26" t="str">
        <f aca="false">IF(F63&gt;E63*1.02,"Unfavourable",IF(F63&lt;E63*0.98,"Favourable","On Target"))</f>
        <v>On Target</v>
      </c>
    </row>
    <row r="64" customFormat="false" ht="15" hidden="false" customHeight="true" outlineLevel="0" collapsed="false">
      <c r="A64" s="12" t="s">
        <v>59</v>
      </c>
      <c r="B64" s="12" t="s">
        <v>60</v>
      </c>
      <c r="C64" s="12" t="s">
        <v>93</v>
      </c>
      <c r="D64" s="12" t="s">
        <v>86</v>
      </c>
      <c r="E64" s="21" t="n">
        <v>18648</v>
      </c>
      <c r="F64" s="21" t="n">
        <v>18936</v>
      </c>
      <c r="G64" s="15" t="n">
        <f aca="false">F64-E64</f>
        <v>288</v>
      </c>
      <c r="H64" s="17" t="n">
        <f aca="false">IFERROR(G64/E64,"")</f>
        <v>0.0154440154440154</v>
      </c>
      <c r="I64" s="26" t="str">
        <f aca="false">IF(F64&gt;E64*1.02,"Unfavourable",IF(F64&lt;E64*0.98,"Favourable","On Target"))</f>
        <v>On Target</v>
      </c>
    </row>
    <row r="65" customFormat="false" ht="15" hidden="false" customHeight="true" outlineLevel="0" collapsed="false">
      <c r="A65" s="12" t="s">
        <v>59</v>
      </c>
      <c r="B65" s="12" t="s">
        <v>60</v>
      </c>
      <c r="C65" s="12" t="s">
        <v>94</v>
      </c>
      <c r="D65" s="12" t="s">
        <v>89</v>
      </c>
      <c r="E65" s="21" t="n">
        <v>15540</v>
      </c>
      <c r="F65" s="21" t="n">
        <v>15314</v>
      </c>
      <c r="G65" s="15" t="n">
        <f aca="false">F65-E65</f>
        <v>-226</v>
      </c>
      <c r="H65" s="17" t="n">
        <f aca="false">IFERROR(G65/E65,"")</f>
        <v>-0.0145431145431145</v>
      </c>
      <c r="I65" s="26" t="str">
        <f aca="false">IF(F65&gt;E65*1.02,"Unfavourable",IF(F65&lt;E65*0.98,"Favourable","On Target"))</f>
        <v>On Target</v>
      </c>
    </row>
    <row r="66" customFormat="false" ht="15" hidden="false" customHeight="true" outlineLevel="0" collapsed="false">
      <c r="A66" s="12" t="s">
        <v>59</v>
      </c>
      <c r="B66" s="12" t="s">
        <v>60</v>
      </c>
      <c r="C66" s="12" t="s">
        <v>95</v>
      </c>
      <c r="D66" s="12" t="s">
        <v>89</v>
      </c>
      <c r="E66" s="21" t="n">
        <v>12432</v>
      </c>
      <c r="F66" s="21" t="n">
        <v>12160</v>
      </c>
      <c r="G66" s="15" t="n">
        <f aca="false">F66-E66</f>
        <v>-272</v>
      </c>
      <c r="H66" s="17" t="n">
        <f aca="false">IFERROR(G66/E66,"")</f>
        <v>-0.0218790218790219</v>
      </c>
      <c r="I66" s="26" t="str">
        <f aca="false">IF(F66&gt;E66*1.02,"Unfavourable",IF(F66&lt;E66*0.98,"Favourable","On Target"))</f>
        <v>Favourable</v>
      </c>
    </row>
    <row r="67" customFormat="false" ht="15" hidden="false" customHeight="true" outlineLevel="0" collapsed="false">
      <c r="A67" s="12" t="s">
        <v>61</v>
      </c>
      <c r="B67" s="12" t="s">
        <v>60</v>
      </c>
      <c r="C67" s="12" t="s">
        <v>85</v>
      </c>
      <c r="D67" s="12" t="s">
        <v>86</v>
      </c>
      <c r="E67" s="21" t="n">
        <v>296970</v>
      </c>
      <c r="F67" s="21" t="n">
        <v>299732</v>
      </c>
      <c r="G67" s="15" t="n">
        <f aca="false">F67-E67</f>
        <v>2762</v>
      </c>
      <c r="H67" s="17" t="n">
        <f aca="false">IFERROR(G67/E67,"")</f>
        <v>0.00930060275448699</v>
      </c>
      <c r="I67" s="26" t="str">
        <f aca="false">IF(F67&gt;E67*1.02,"Unfavourable",IF(F67&lt;E67*0.98,"Favourable","On Target"))</f>
        <v>On Target</v>
      </c>
    </row>
    <row r="68" customFormat="false" ht="15" hidden="false" customHeight="true" outlineLevel="0" collapsed="false">
      <c r="A68" s="12" t="s">
        <v>61</v>
      </c>
      <c r="B68" s="12" t="s">
        <v>60</v>
      </c>
      <c r="C68" s="12" t="s">
        <v>87</v>
      </c>
      <c r="D68" s="12" t="s">
        <v>86</v>
      </c>
      <c r="E68" s="21" t="n">
        <v>98990</v>
      </c>
      <c r="F68" s="21" t="n">
        <v>95069</v>
      </c>
      <c r="G68" s="15" t="n">
        <f aca="false">F68-E68</f>
        <v>-3921</v>
      </c>
      <c r="H68" s="17" t="n">
        <f aca="false">IFERROR(G68/E68,"")</f>
        <v>-0.0396100616223861</v>
      </c>
      <c r="I68" s="26" t="str">
        <f aca="false">IF(F68&gt;E68*1.02,"Unfavourable",IF(F68&lt;E68*0.98,"Favourable","On Target"))</f>
        <v>Favourable</v>
      </c>
    </row>
    <row r="69" customFormat="false" ht="15" hidden="false" customHeight="true" outlineLevel="0" collapsed="false">
      <c r="A69" s="12" t="s">
        <v>61</v>
      </c>
      <c r="B69" s="12" t="s">
        <v>60</v>
      </c>
      <c r="C69" s="12" t="s">
        <v>88</v>
      </c>
      <c r="D69" s="12" t="s">
        <v>89</v>
      </c>
      <c r="E69" s="21" t="n">
        <v>37345</v>
      </c>
      <c r="F69" s="21" t="n">
        <v>38081</v>
      </c>
      <c r="G69" s="15" t="n">
        <f aca="false">F69-E69</f>
        <v>736</v>
      </c>
      <c r="H69" s="17" t="n">
        <f aca="false">IFERROR(G69/E69,"")</f>
        <v>0.0197081269246218</v>
      </c>
      <c r="I69" s="26" t="str">
        <f aca="false">IF(F69&gt;E69*1.02,"Unfavourable",IF(F69&lt;E69*0.98,"Favourable","On Target"))</f>
        <v>On Target</v>
      </c>
    </row>
    <row r="70" customFormat="false" ht="15" hidden="false" customHeight="true" outlineLevel="0" collapsed="false">
      <c r="A70" s="12" t="s">
        <v>61</v>
      </c>
      <c r="B70" s="12" t="s">
        <v>60</v>
      </c>
      <c r="C70" s="12" t="s">
        <v>90</v>
      </c>
      <c r="D70" s="12" t="s">
        <v>89</v>
      </c>
      <c r="E70" s="21" t="n">
        <v>77368</v>
      </c>
      <c r="F70" s="21" t="n">
        <v>79343</v>
      </c>
      <c r="G70" s="15" t="n">
        <f aca="false">F70-E70</f>
        <v>1975</v>
      </c>
      <c r="H70" s="17" t="n">
        <f aca="false">IFERROR(G70/E70,"")</f>
        <v>0.0255273498087064</v>
      </c>
      <c r="I70" s="26" t="str">
        <f aca="false">IF(F70&gt;E70*1.02,"Unfavourable",IF(F70&lt;E70*0.98,"Favourable","On Target"))</f>
        <v>Unfavourable</v>
      </c>
    </row>
    <row r="71" customFormat="false" ht="15" hidden="false" customHeight="true" outlineLevel="0" collapsed="false">
      <c r="A71" s="12" t="s">
        <v>61</v>
      </c>
      <c r="B71" s="12" t="s">
        <v>60</v>
      </c>
      <c r="C71" s="12" t="s">
        <v>91</v>
      </c>
      <c r="D71" s="12" t="s">
        <v>86</v>
      </c>
      <c r="E71" s="21" t="n">
        <v>29176</v>
      </c>
      <c r="F71" s="21" t="n">
        <v>29598</v>
      </c>
      <c r="G71" s="15" t="n">
        <f aca="false">F71-E71</f>
        <v>422</v>
      </c>
      <c r="H71" s="17" t="n">
        <f aca="false">IFERROR(G71/E71,"")</f>
        <v>0.014463942966822</v>
      </c>
      <c r="I71" s="26" t="str">
        <f aca="false">IF(F71&gt;E71*1.02,"Unfavourable",IF(F71&lt;E71*0.98,"Favourable","On Target"))</f>
        <v>On Target</v>
      </c>
    </row>
    <row r="72" customFormat="false" ht="15" hidden="false" customHeight="true" outlineLevel="0" collapsed="false">
      <c r="A72" s="12" t="s">
        <v>61</v>
      </c>
      <c r="B72" s="12" t="s">
        <v>60</v>
      </c>
      <c r="C72" s="12" t="s">
        <v>92</v>
      </c>
      <c r="D72" s="12" t="s">
        <v>89</v>
      </c>
      <c r="E72" s="21" t="n">
        <v>56018</v>
      </c>
      <c r="F72" s="21" t="n">
        <v>56666</v>
      </c>
      <c r="G72" s="15" t="n">
        <f aca="false">F72-E72</f>
        <v>648</v>
      </c>
      <c r="H72" s="17" t="n">
        <f aca="false">IFERROR(G72/E72,"")</f>
        <v>0.0115677103788068</v>
      </c>
      <c r="I72" s="26" t="str">
        <f aca="false">IF(F72&gt;E72*1.02,"Unfavourable",IF(F72&lt;E72*0.98,"Favourable","On Target"))</f>
        <v>On Target</v>
      </c>
    </row>
    <row r="73" customFormat="false" ht="15" hidden="false" customHeight="true" outlineLevel="0" collapsed="false">
      <c r="A73" s="12" t="s">
        <v>61</v>
      </c>
      <c r="B73" s="12" t="s">
        <v>60</v>
      </c>
      <c r="C73" s="12" t="s">
        <v>93</v>
      </c>
      <c r="D73" s="12" t="s">
        <v>86</v>
      </c>
      <c r="E73" s="21" t="n">
        <v>18756</v>
      </c>
      <c r="F73" s="21" t="n">
        <v>19045</v>
      </c>
      <c r="G73" s="15" t="n">
        <f aca="false">F73-E73</f>
        <v>289</v>
      </c>
      <c r="H73" s="17" t="n">
        <f aca="false">IFERROR(G73/E73,"")</f>
        <v>0.0154084026444871</v>
      </c>
      <c r="I73" s="26" t="str">
        <f aca="false">IF(F73&gt;E73*1.02,"Unfavourable",IF(F73&lt;E73*0.98,"Favourable","On Target"))</f>
        <v>On Target</v>
      </c>
    </row>
    <row r="74" customFormat="false" ht="15" hidden="false" customHeight="true" outlineLevel="0" collapsed="false">
      <c r="A74" s="12" t="s">
        <v>61</v>
      </c>
      <c r="B74" s="12" t="s">
        <v>60</v>
      </c>
      <c r="C74" s="12" t="s">
        <v>94</v>
      </c>
      <c r="D74" s="12" t="s">
        <v>89</v>
      </c>
      <c r="E74" s="21" t="n">
        <v>15630</v>
      </c>
      <c r="F74" s="21" t="n">
        <v>15668</v>
      </c>
      <c r="G74" s="15" t="n">
        <f aca="false">F74-E74</f>
        <v>38</v>
      </c>
      <c r="H74" s="17" t="n">
        <f aca="false">IFERROR(G74/E74,"")</f>
        <v>0.00243122200895713</v>
      </c>
      <c r="I74" s="26" t="str">
        <f aca="false">IF(F74&gt;E74*1.02,"Unfavourable",IF(F74&lt;E74*0.98,"Favourable","On Target"))</f>
        <v>On Target</v>
      </c>
    </row>
    <row r="75" customFormat="false" ht="15" hidden="false" customHeight="true" outlineLevel="0" collapsed="false">
      <c r="A75" s="12" t="s">
        <v>61</v>
      </c>
      <c r="B75" s="12" t="s">
        <v>60</v>
      </c>
      <c r="C75" s="12" t="s">
        <v>95</v>
      </c>
      <c r="D75" s="12" t="s">
        <v>89</v>
      </c>
      <c r="E75" s="21" t="n">
        <v>12504</v>
      </c>
      <c r="F75" s="21" t="n">
        <v>12585</v>
      </c>
      <c r="G75" s="15" t="n">
        <f aca="false">F75-E75</f>
        <v>81</v>
      </c>
      <c r="H75" s="17" t="n">
        <f aca="false">IFERROR(G75/E75,"")</f>
        <v>0.00647792706333973</v>
      </c>
      <c r="I75" s="26" t="str">
        <f aca="false">IF(F75&gt;E75*1.02,"Unfavourable",IF(F75&lt;E75*0.98,"Favourable","On Target"))</f>
        <v>On Target</v>
      </c>
    </row>
    <row r="76" customFormat="false" ht="15" hidden="false" customHeight="true" outlineLevel="0" collapsed="false">
      <c r="A76" s="12" t="s">
        <v>62</v>
      </c>
      <c r="B76" s="12" t="s">
        <v>60</v>
      </c>
      <c r="C76" s="12" t="s">
        <v>85</v>
      </c>
      <c r="D76" s="12" t="s">
        <v>86</v>
      </c>
      <c r="E76" s="21" t="n">
        <v>298680</v>
      </c>
      <c r="F76" s="21" t="n">
        <v>300084</v>
      </c>
      <c r="G76" s="15" t="n">
        <f aca="false">F76-E76</f>
        <v>1404</v>
      </c>
      <c r="H76" s="17" t="n">
        <f aca="false">IFERROR(G76/E76,"")</f>
        <v>0.00470068300522298</v>
      </c>
      <c r="I76" s="26" t="str">
        <f aca="false">IF(F76&gt;E76*1.02,"Unfavourable",IF(F76&lt;E76*0.98,"Favourable","On Target"))</f>
        <v>On Target</v>
      </c>
    </row>
    <row r="77" customFormat="false" ht="15" hidden="false" customHeight="true" outlineLevel="0" collapsed="false">
      <c r="A77" s="12" t="s">
        <v>62</v>
      </c>
      <c r="B77" s="12" t="s">
        <v>60</v>
      </c>
      <c r="C77" s="12" t="s">
        <v>87</v>
      </c>
      <c r="D77" s="12" t="s">
        <v>86</v>
      </c>
      <c r="E77" s="21" t="n">
        <v>99560</v>
      </c>
      <c r="F77" s="21" t="n">
        <v>101119</v>
      </c>
      <c r="G77" s="15" t="n">
        <f aca="false">F77-E77</f>
        <v>1559</v>
      </c>
      <c r="H77" s="17" t="n">
        <f aca="false">IFERROR(G77/E77,"")</f>
        <v>0.0156588991562877</v>
      </c>
      <c r="I77" s="26" t="str">
        <f aca="false">IF(F77&gt;E77*1.02,"Unfavourable",IF(F77&lt;E77*0.98,"Favourable","On Target"))</f>
        <v>On Target</v>
      </c>
    </row>
    <row r="78" customFormat="false" ht="15" hidden="false" customHeight="true" outlineLevel="0" collapsed="false">
      <c r="A78" s="12" t="s">
        <v>62</v>
      </c>
      <c r="B78" s="12" t="s">
        <v>60</v>
      </c>
      <c r="C78" s="12" t="s">
        <v>88</v>
      </c>
      <c r="D78" s="12" t="s">
        <v>89</v>
      </c>
      <c r="E78" s="21" t="n">
        <v>33536</v>
      </c>
      <c r="F78" s="21" t="n">
        <v>32555</v>
      </c>
      <c r="G78" s="15" t="n">
        <f aca="false">F78-E78</f>
        <v>-981</v>
      </c>
      <c r="H78" s="17" t="n">
        <f aca="false">IFERROR(G78/E78,"")</f>
        <v>-0.0292521469465649</v>
      </c>
      <c r="I78" s="26" t="str">
        <f aca="false">IF(F78&gt;E78*1.02,"Unfavourable",IF(F78&lt;E78*0.98,"Favourable","On Target"))</f>
        <v>Favourable</v>
      </c>
    </row>
    <row r="79" customFormat="false" ht="15" hidden="false" customHeight="true" outlineLevel="0" collapsed="false">
      <c r="A79" s="12" t="s">
        <v>62</v>
      </c>
      <c r="B79" s="12" t="s">
        <v>60</v>
      </c>
      <c r="C79" s="12" t="s">
        <v>90</v>
      </c>
      <c r="D79" s="12" t="s">
        <v>89</v>
      </c>
      <c r="E79" s="21" t="n">
        <v>57640</v>
      </c>
      <c r="F79" s="21" t="n">
        <v>57507</v>
      </c>
      <c r="G79" s="15" t="n">
        <f aca="false">F79-E79</f>
        <v>-133</v>
      </c>
      <c r="H79" s="17" t="n">
        <f aca="false">IFERROR(G79/E79,"")</f>
        <v>-0.00230742539902845</v>
      </c>
      <c r="I79" s="26" t="str">
        <f aca="false">IF(F79&gt;E79*1.02,"Unfavourable",IF(F79&lt;E79*0.98,"Favourable","On Target"))</f>
        <v>On Target</v>
      </c>
    </row>
    <row r="80" customFormat="false" ht="15" hidden="false" customHeight="true" outlineLevel="0" collapsed="false">
      <c r="A80" s="12" t="s">
        <v>62</v>
      </c>
      <c r="B80" s="12" t="s">
        <v>60</v>
      </c>
      <c r="C80" s="12" t="s">
        <v>91</v>
      </c>
      <c r="D80" s="12" t="s">
        <v>86</v>
      </c>
      <c r="E80" s="21" t="n">
        <v>29344</v>
      </c>
      <c r="F80" s="21" t="n">
        <v>29147</v>
      </c>
      <c r="G80" s="15" t="n">
        <f aca="false">F80-E80</f>
        <v>-197</v>
      </c>
      <c r="H80" s="17" t="n">
        <f aca="false">IFERROR(G80/E80,"")</f>
        <v>-0.00671346782988004</v>
      </c>
      <c r="I80" s="26" t="str">
        <f aca="false">IF(F80&gt;E80*1.02,"Unfavourable",IF(F80&lt;E80*0.98,"Favourable","On Target"))</f>
        <v>On Target</v>
      </c>
    </row>
    <row r="81" customFormat="false" ht="15" hidden="false" customHeight="true" outlineLevel="0" collapsed="false">
      <c r="A81" s="12" t="s">
        <v>62</v>
      </c>
      <c r="B81" s="12" t="s">
        <v>60</v>
      </c>
      <c r="C81" s="12" t="s">
        <v>92</v>
      </c>
      <c r="D81" s="12" t="s">
        <v>89</v>
      </c>
      <c r="E81" s="21" t="n">
        <v>50304</v>
      </c>
      <c r="F81" s="21" t="n">
        <v>48970</v>
      </c>
      <c r="G81" s="15" t="n">
        <f aca="false">F81-E81</f>
        <v>-1334</v>
      </c>
      <c r="H81" s="17" t="n">
        <f aca="false">IFERROR(G81/E81,"")</f>
        <v>-0.0265187659033079</v>
      </c>
      <c r="I81" s="26" t="str">
        <f aca="false">IF(F81&gt;E81*1.02,"Unfavourable",IF(F81&lt;E81*0.98,"Favourable","On Target"))</f>
        <v>Favourable</v>
      </c>
    </row>
    <row r="82" customFormat="false" ht="15" hidden="false" customHeight="true" outlineLevel="0" collapsed="false">
      <c r="A82" s="12" t="s">
        <v>62</v>
      </c>
      <c r="B82" s="12" t="s">
        <v>60</v>
      </c>
      <c r="C82" s="12" t="s">
        <v>93</v>
      </c>
      <c r="D82" s="12" t="s">
        <v>86</v>
      </c>
      <c r="E82" s="21" t="n">
        <v>18864</v>
      </c>
      <c r="F82" s="21" t="n">
        <v>19155</v>
      </c>
      <c r="G82" s="15" t="n">
        <f aca="false">F82-E82</f>
        <v>291</v>
      </c>
      <c r="H82" s="17" t="n">
        <f aca="false">IFERROR(G82/E82,"")</f>
        <v>0.0154262086513995</v>
      </c>
      <c r="I82" s="26" t="str">
        <f aca="false">IF(F82&gt;E82*1.02,"Unfavourable",IF(F82&lt;E82*0.98,"Favourable","On Target"))</f>
        <v>On Target</v>
      </c>
    </row>
    <row r="83" customFormat="false" ht="15" hidden="false" customHeight="true" outlineLevel="0" collapsed="false">
      <c r="A83" s="12" t="s">
        <v>62</v>
      </c>
      <c r="B83" s="12" t="s">
        <v>60</v>
      </c>
      <c r="C83" s="12" t="s">
        <v>94</v>
      </c>
      <c r="D83" s="12" t="s">
        <v>89</v>
      </c>
      <c r="E83" s="21" t="n">
        <v>15720</v>
      </c>
      <c r="F83" s="21" t="n">
        <v>16812</v>
      </c>
      <c r="G83" s="15" t="n">
        <f aca="false">F83-E83</f>
        <v>1092</v>
      </c>
      <c r="H83" s="17" t="n">
        <f aca="false">IFERROR(G83/E83,"")</f>
        <v>0.0694656488549618</v>
      </c>
      <c r="I83" s="26" t="str">
        <f aca="false">IF(F83&gt;E83*1.02,"Unfavourable",IF(F83&lt;E83*0.98,"Favourable","On Target"))</f>
        <v>Unfavourable</v>
      </c>
    </row>
    <row r="84" customFormat="false" ht="15" hidden="false" customHeight="true" outlineLevel="0" collapsed="false">
      <c r="A84" s="12" t="s">
        <v>62</v>
      </c>
      <c r="B84" s="12" t="s">
        <v>60</v>
      </c>
      <c r="C84" s="12" t="s">
        <v>95</v>
      </c>
      <c r="D84" s="12" t="s">
        <v>89</v>
      </c>
      <c r="E84" s="21" t="n">
        <v>12576</v>
      </c>
      <c r="F84" s="21" t="n">
        <v>12593</v>
      </c>
      <c r="G84" s="15" t="n">
        <f aca="false">F84-E84</f>
        <v>17</v>
      </c>
      <c r="H84" s="17" t="n">
        <f aca="false">IFERROR(G84/E84,"")</f>
        <v>0.00135178117048346</v>
      </c>
      <c r="I84" s="26" t="str">
        <f aca="false">IF(F84&gt;E84*1.02,"Unfavourable",IF(F84&lt;E84*0.98,"Favourable","On Target"))</f>
        <v>On Target</v>
      </c>
    </row>
    <row r="85" customFormat="false" ht="15" hidden="false" customHeight="true" outlineLevel="0" collapsed="false">
      <c r="A85" s="12" t="s">
        <v>63</v>
      </c>
      <c r="B85" s="12" t="s">
        <v>64</v>
      </c>
      <c r="C85" s="12" t="s">
        <v>85</v>
      </c>
      <c r="D85" s="12" t="s">
        <v>86</v>
      </c>
      <c r="E85" s="21" t="n">
        <v>300390</v>
      </c>
      <c r="F85" s="21" t="n">
        <v>300970</v>
      </c>
      <c r="G85" s="15" t="n">
        <f aca="false">F85-E85</f>
        <v>580</v>
      </c>
      <c r="H85" s="17" t="n">
        <f aca="false">IFERROR(G85/E85,"")</f>
        <v>0.00193082326309131</v>
      </c>
      <c r="I85" s="26" t="str">
        <f aca="false">IF(F85&gt;E85*1.02,"Unfavourable",IF(F85&lt;E85*0.98,"Favourable","On Target"))</f>
        <v>On Target</v>
      </c>
    </row>
    <row r="86" customFormat="false" ht="15" hidden="false" customHeight="true" outlineLevel="0" collapsed="false">
      <c r="A86" s="12" t="s">
        <v>63</v>
      </c>
      <c r="B86" s="12" t="s">
        <v>64</v>
      </c>
      <c r="C86" s="12" t="s">
        <v>87</v>
      </c>
      <c r="D86" s="12" t="s">
        <v>86</v>
      </c>
      <c r="E86" s="21" t="n">
        <v>100130</v>
      </c>
      <c r="F86" s="21" t="n">
        <v>101022</v>
      </c>
      <c r="G86" s="15" t="n">
        <f aca="false">F86-E86</f>
        <v>892</v>
      </c>
      <c r="H86" s="17" t="n">
        <f aca="false">IFERROR(G86/E86,"")</f>
        <v>0.0089084190552282</v>
      </c>
      <c r="I86" s="26" t="str">
        <f aca="false">IF(F86&gt;E86*1.02,"Unfavourable",IF(F86&lt;E86*0.98,"Favourable","On Target"))</f>
        <v>On Target</v>
      </c>
    </row>
    <row r="87" customFormat="false" ht="15" hidden="false" customHeight="true" outlineLevel="0" collapsed="false">
      <c r="A87" s="12" t="s">
        <v>63</v>
      </c>
      <c r="B87" s="12" t="s">
        <v>64</v>
      </c>
      <c r="C87" s="12" t="s">
        <v>88</v>
      </c>
      <c r="D87" s="12" t="s">
        <v>89</v>
      </c>
      <c r="E87" s="21" t="n">
        <v>33728</v>
      </c>
      <c r="F87" s="21" t="n">
        <v>34524</v>
      </c>
      <c r="G87" s="15" t="n">
        <f aca="false">F87-E87</f>
        <v>796</v>
      </c>
      <c r="H87" s="17" t="n">
        <f aca="false">IFERROR(G87/E87,"")</f>
        <v>0.0236005692599621</v>
      </c>
      <c r="I87" s="26" t="str">
        <f aca="false">IF(F87&gt;E87*1.02,"Unfavourable",IF(F87&lt;E87*0.98,"Favourable","On Target"))</f>
        <v>Unfavourable</v>
      </c>
    </row>
    <row r="88" customFormat="false" ht="15" hidden="false" customHeight="true" outlineLevel="0" collapsed="false">
      <c r="A88" s="12" t="s">
        <v>63</v>
      </c>
      <c r="B88" s="12" t="s">
        <v>64</v>
      </c>
      <c r="C88" s="12" t="s">
        <v>90</v>
      </c>
      <c r="D88" s="12" t="s">
        <v>89</v>
      </c>
      <c r="E88" s="21" t="n">
        <v>57970</v>
      </c>
      <c r="F88" s="21" t="n">
        <v>58563</v>
      </c>
      <c r="G88" s="15" t="n">
        <f aca="false">F88-E88</f>
        <v>593</v>
      </c>
      <c r="H88" s="17" t="n">
        <f aca="false">IFERROR(G88/E88,"")</f>
        <v>0.0102294290150078</v>
      </c>
      <c r="I88" s="26" t="str">
        <f aca="false">IF(F88&gt;E88*1.02,"Unfavourable",IF(F88&lt;E88*0.98,"Favourable","On Target"))</f>
        <v>On Target</v>
      </c>
    </row>
    <row r="89" customFormat="false" ht="15" hidden="false" customHeight="true" outlineLevel="0" collapsed="false">
      <c r="A89" s="12" t="s">
        <v>63</v>
      </c>
      <c r="B89" s="12" t="s">
        <v>64</v>
      </c>
      <c r="C89" s="12" t="s">
        <v>91</v>
      </c>
      <c r="D89" s="12" t="s">
        <v>86</v>
      </c>
      <c r="E89" s="21" t="n">
        <v>29512</v>
      </c>
      <c r="F89" s="21" t="n">
        <v>30144</v>
      </c>
      <c r="G89" s="15" t="n">
        <f aca="false">F89-E89</f>
        <v>632</v>
      </c>
      <c r="H89" s="17" t="n">
        <f aca="false">IFERROR(G89/E89,"")</f>
        <v>0.0214150176199512</v>
      </c>
      <c r="I89" s="26" t="str">
        <f aca="false">IF(F89&gt;E89*1.02,"Unfavourable",IF(F89&lt;E89*0.98,"Favourable","On Target"))</f>
        <v>Unfavourable</v>
      </c>
    </row>
    <row r="90" customFormat="false" ht="15" hidden="false" customHeight="true" outlineLevel="0" collapsed="false">
      <c r="A90" s="12" t="s">
        <v>63</v>
      </c>
      <c r="B90" s="12" t="s">
        <v>64</v>
      </c>
      <c r="C90" s="12" t="s">
        <v>92</v>
      </c>
      <c r="D90" s="12" t="s">
        <v>89</v>
      </c>
      <c r="E90" s="21" t="n">
        <v>50592</v>
      </c>
      <c r="F90" s="21" t="n">
        <v>50825</v>
      </c>
      <c r="G90" s="15" t="n">
        <f aca="false">F90-E90</f>
        <v>233</v>
      </c>
      <c r="H90" s="17" t="n">
        <f aca="false">IFERROR(G90/E90,"")</f>
        <v>0.00460547122074636</v>
      </c>
      <c r="I90" s="26" t="str">
        <f aca="false">IF(F90&gt;E90*1.02,"Unfavourable",IF(F90&lt;E90*0.98,"Favourable","On Target"))</f>
        <v>On Target</v>
      </c>
    </row>
    <row r="91" customFormat="false" ht="15" hidden="false" customHeight="true" outlineLevel="0" collapsed="false">
      <c r="A91" s="12" t="s">
        <v>63</v>
      </c>
      <c r="B91" s="12" t="s">
        <v>64</v>
      </c>
      <c r="C91" s="12" t="s">
        <v>93</v>
      </c>
      <c r="D91" s="12" t="s">
        <v>86</v>
      </c>
      <c r="E91" s="21" t="n">
        <v>18972</v>
      </c>
      <c r="F91" s="21" t="n">
        <v>21165</v>
      </c>
      <c r="G91" s="15" t="n">
        <f aca="false">F91-E91</f>
        <v>2193</v>
      </c>
      <c r="H91" s="17" t="n">
        <f aca="false">IFERROR(G91/E91,"")</f>
        <v>0.115591397849462</v>
      </c>
      <c r="I91" s="26" t="str">
        <f aca="false">IF(F91&gt;E91*1.02,"Unfavourable",IF(F91&lt;E91*0.98,"Favourable","On Target"))</f>
        <v>Unfavourable</v>
      </c>
    </row>
    <row r="92" customFormat="false" ht="15" hidden="false" customHeight="true" outlineLevel="0" collapsed="false">
      <c r="A92" s="12" t="s">
        <v>63</v>
      </c>
      <c r="B92" s="12" t="s">
        <v>64</v>
      </c>
      <c r="C92" s="12" t="s">
        <v>94</v>
      </c>
      <c r="D92" s="12" t="s">
        <v>89</v>
      </c>
      <c r="E92" s="21" t="n">
        <v>15810</v>
      </c>
      <c r="F92" s="21" t="n">
        <v>14924</v>
      </c>
      <c r="G92" s="15" t="n">
        <f aca="false">F92-E92</f>
        <v>-886</v>
      </c>
      <c r="H92" s="17" t="n">
        <f aca="false">IFERROR(G92/E92,"")</f>
        <v>-0.0560404807084124</v>
      </c>
      <c r="I92" s="26" t="str">
        <f aca="false">IF(F92&gt;E92*1.02,"Unfavourable",IF(F92&lt;E92*0.98,"Favourable","On Target"))</f>
        <v>Favourable</v>
      </c>
    </row>
    <row r="93" customFormat="false" ht="15" hidden="false" customHeight="true" outlineLevel="0" collapsed="false">
      <c r="A93" s="12" t="s">
        <v>63</v>
      </c>
      <c r="B93" s="12" t="s">
        <v>64</v>
      </c>
      <c r="C93" s="12" t="s">
        <v>95</v>
      </c>
      <c r="D93" s="12" t="s">
        <v>89</v>
      </c>
      <c r="E93" s="21" t="n">
        <v>12648</v>
      </c>
      <c r="F93" s="21" t="n">
        <v>12401</v>
      </c>
      <c r="G93" s="15" t="n">
        <f aca="false">F93-E93</f>
        <v>-247</v>
      </c>
      <c r="H93" s="17" t="n">
        <f aca="false">IFERROR(G93/E93,"")</f>
        <v>-0.0195287792536369</v>
      </c>
      <c r="I93" s="26" t="str">
        <f aca="false">IF(F93&gt;E93*1.02,"Unfavourable",IF(F93&lt;E93*0.98,"Favourable","On Target"))</f>
        <v>On Target</v>
      </c>
    </row>
    <row r="94" customFormat="false" ht="15" hidden="false" customHeight="true" outlineLevel="0" collapsed="false">
      <c r="A94" s="12" t="s">
        <v>65</v>
      </c>
      <c r="B94" s="12" t="s">
        <v>64</v>
      </c>
      <c r="C94" s="12" t="s">
        <v>85</v>
      </c>
      <c r="D94" s="12" t="s">
        <v>86</v>
      </c>
      <c r="E94" s="21" t="n">
        <v>302100</v>
      </c>
      <c r="F94" s="21" t="n">
        <v>303575</v>
      </c>
      <c r="G94" s="15" t="n">
        <f aca="false">F94-E94</f>
        <v>1475</v>
      </c>
      <c r="H94" s="17" t="n">
        <f aca="false">IFERROR(G94/E94,"")</f>
        <v>0.00488248924197286</v>
      </c>
      <c r="I94" s="26" t="str">
        <f aca="false">IF(F94&gt;E94*1.02,"Unfavourable",IF(F94&lt;E94*0.98,"Favourable","On Target"))</f>
        <v>On Target</v>
      </c>
    </row>
    <row r="95" customFormat="false" ht="15" hidden="false" customHeight="true" outlineLevel="0" collapsed="false">
      <c r="A95" s="12" t="s">
        <v>65</v>
      </c>
      <c r="B95" s="12" t="s">
        <v>64</v>
      </c>
      <c r="C95" s="12" t="s">
        <v>87</v>
      </c>
      <c r="D95" s="12" t="s">
        <v>86</v>
      </c>
      <c r="E95" s="21" t="n">
        <v>100700</v>
      </c>
      <c r="F95" s="21" t="n">
        <v>101457</v>
      </c>
      <c r="G95" s="15" t="n">
        <f aca="false">F95-E95</f>
        <v>757</v>
      </c>
      <c r="H95" s="17" t="n">
        <f aca="false">IFERROR(G95/E95,"")</f>
        <v>0.00751737835153923</v>
      </c>
      <c r="I95" s="26" t="str">
        <f aca="false">IF(F95&gt;E95*1.02,"Unfavourable",IF(F95&lt;E95*0.98,"Favourable","On Target"))</f>
        <v>On Target</v>
      </c>
    </row>
    <row r="96" customFormat="false" ht="15" hidden="false" customHeight="true" outlineLevel="0" collapsed="false">
      <c r="A96" s="12" t="s">
        <v>65</v>
      </c>
      <c r="B96" s="12" t="s">
        <v>64</v>
      </c>
      <c r="C96" s="12" t="s">
        <v>88</v>
      </c>
      <c r="D96" s="12" t="s">
        <v>89</v>
      </c>
      <c r="E96" s="21" t="n">
        <v>33920</v>
      </c>
      <c r="F96" s="21" t="n">
        <v>35099</v>
      </c>
      <c r="G96" s="15" t="n">
        <f aca="false">F96-E96</f>
        <v>1179</v>
      </c>
      <c r="H96" s="17" t="n">
        <f aca="false">IFERROR(G96/E96,"")</f>
        <v>0.0347582547169811</v>
      </c>
      <c r="I96" s="26" t="str">
        <f aca="false">IF(F96&gt;E96*1.02,"Unfavourable",IF(F96&lt;E96*0.98,"Favourable","On Target"))</f>
        <v>Unfavourable</v>
      </c>
    </row>
    <row r="97" customFormat="false" ht="15" hidden="false" customHeight="true" outlineLevel="0" collapsed="false">
      <c r="A97" s="12" t="s">
        <v>65</v>
      </c>
      <c r="B97" s="12" t="s">
        <v>64</v>
      </c>
      <c r="C97" s="12" t="s">
        <v>90</v>
      </c>
      <c r="D97" s="12" t="s">
        <v>89</v>
      </c>
      <c r="E97" s="21" t="n">
        <v>58300</v>
      </c>
      <c r="F97" s="21" t="n">
        <v>58784</v>
      </c>
      <c r="G97" s="15" t="n">
        <f aca="false">F97-E97</f>
        <v>484</v>
      </c>
      <c r="H97" s="17" t="n">
        <f aca="false">IFERROR(G97/E97,"")</f>
        <v>0.00830188679245283</v>
      </c>
      <c r="I97" s="26" t="str">
        <f aca="false">IF(F97&gt;E97*1.02,"Unfavourable",IF(F97&lt;E97*0.98,"Favourable","On Target"))</f>
        <v>On Target</v>
      </c>
    </row>
    <row r="98" customFormat="false" ht="15" hidden="false" customHeight="true" outlineLevel="0" collapsed="false">
      <c r="A98" s="12" t="s">
        <v>65</v>
      </c>
      <c r="B98" s="12" t="s">
        <v>64</v>
      </c>
      <c r="C98" s="12" t="s">
        <v>91</v>
      </c>
      <c r="D98" s="12" t="s">
        <v>86</v>
      </c>
      <c r="E98" s="21" t="n">
        <v>29680</v>
      </c>
      <c r="F98" s="21" t="n">
        <v>30101</v>
      </c>
      <c r="G98" s="15" t="n">
        <f aca="false">F98-E98</f>
        <v>421</v>
      </c>
      <c r="H98" s="17" t="n">
        <f aca="false">IFERROR(G98/E98,"")</f>
        <v>0.0141846361185984</v>
      </c>
      <c r="I98" s="26" t="str">
        <f aca="false">IF(F98&gt;E98*1.02,"Unfavourable",IF(F98&lt;E98*0.98,"Favourable","On Target"))</f>
        <v>On Target</v>
      </c>
    </row>
    <row r="99" customFormat="false" ht="15" hidden="false" customHeight="true" outlineLevel="0" collapsed="false">
      <c r="A99" s="12" t="s">
        <v>65</v>
      </c>
      <c r="B99" s="12" t="s">
        <v>64</v>
      </c>
      <c r="C99" s="12" t="s">
        <v>92</v>
      </c>
      <c r="D99" s="12" t="s">
        <v>89</v>
      </c>
      <c r="E99" s="21" t="n">
        <v>50880</v>
      </c>
      <c r="F99" s="21" t="n">
        <v>50969</v>
      </c>
      <c r="G99" s="15" t="n">
        <f aca="false">F99-E99</f>
        <v>89</v>
      </c>
      <c r="H99" s="17" t="n">
        <f aca="false">IFERROR(G99/E99,"")</f>
        <v>0.00174921383647799</v>
      </c>
      <c r="I99" s="26" t="str">
        <f aca="false">IF(F99&gt;E99*1.02,"Unfavourable",IF(F99&lt;E99*0.98,"Favourable","On Target"))</f>
        <v>On Target</v>
      </c>
    </row>
    <row r="100" customFormat="false" ht="15" hidden="false" customHeight="true" outlineLevel="0" collapsed="false">
      <c r="A100" s="12" t="s">
        <v>65</v>
      </c>
      <c r="B100" s="12" t="s">
        <v>64</v>
      </c>
      <c r="C100" s="12" t="s">
        <v>93</v>
      </c>
      <c r="D100" s="12" t="s">
        <v>86</v>
      </c>
      <c r="E100" s="21" t="n">
        <v>19080</v>
      </c>
      <c r="F100" s="21" t="n">
        <v>19407</v>
      </c>
      <c r="G100" s="15" t="n">
        <f aca="false">F100-E100</f>
        <v>327</v>
      </c>
      <c r="H100" s="17" t="n">
        <f aca="false">IFERROR(G100/E100,"")</f>
        <v>0.0171383647798742</v>
      </c>
      <c r="I100" s="26" t="str">
        <f aca="false">IF(F100&gt;E100*1.02,"Unfavourable",IF(F100&lt;E100*0.98,"Favourable","On Target"))</f>
        <v>On Target</v>
      </c>
    </row>
    <row r="101" customFormat="false" ht="15" hidden="false" customHeight="true" outlineLevel="0" collapsed="false">
      <c r="A101" s="12" t="s">
        <v>65</v>
      </c>
      <c r="B101" s="12" t="s">
        <v>64</v>
      </c>
      <c r="C101" s="12" t="s">
        <v>94</v>
      </c>
      <c r="D101" s="12" t="s">
        <v>89</v>
      </c>
      <c r="E101" s="21" t="n">
        <v>15900</v>
      </c>
      <c r="F101" s="21" t="n">
        <v>16227</v>
      </c>
      <c r="G101" s="15" t="n">
        <f aca="false">F101-E101</f>
        <v>327</v>
      </c>
      <c r="H101" s="17" t="n">
        <f aca="false">IFERROR(G101/E101,"")</f>
        <v>0.0205660377358491</v>
      </c>
      <c r="I101" s="26" t="str">
        <f aca="false">IF(F101&gt;E101*1.02,"Unfavourable",IF(F101&lt;E101*0.98,"Favourable","On Target"))</f>
        <v>Unfavourable</v>
      </c>
    </row>
    <row r="102" customFormat="false" ht="15" hidden="false" customHeight="true" outlineLevel="0" collapsed="false">
      <c r="A102" s="12" t="s">
        <v>65</v>
      </c>
      <c r="B102" s="12" t="s">
        <v>64</v>
      </c>
      <c r="C102" s="12" t="s">
        <v>95</v>
      </c>
      <c r="D102" s="12" t="s">
        <v>89</v>
      </c>
      <c r="E102" s="21" t="n">
        <v>12720</v>
      </c>
      <c r="F102" s="21" t="n">
        <v>13538</v>
      </c>
      <c r="G102" s="15" t="n">
        <f aca="false">F102-E102</f>
        <v>818</v>
      </c>
      <c r="H102" s="17" t="n">
        <f aca="false">IFERROR(G102/E102,"")</f>
        <v>0.0643081761006289</v>
      </c>
      <c r="I102" s="26" t="str">
        <f aca="false">IF(F102&gt;E102*1.02,"Unfavourable",IF(F102&lt;E102*0.98,"Favourable","On Target"))</f>
        <v>Unfavourable</v>
      </c>
    </row>
    <row r="103" customFormat="false" ht="15" hidden="false" customHeight="true" outlineLevel="0" collapsed="false">
      <c r="A103" s="12" t="s">
        <v>66</v>
      </c>
      <c r="B103" s="12" t="s">
        <v>64</v>
      </c>
      <c r="C103" s="12" t="s">
        <v>85</v>
      </c>
      <c r="D103" s="12" t="s">
        <v>86</v>
      </c>
      <c r="E103" s="21" t="n">
        <v>303810</v>
      </c>
      <c r="F103" s="21" t="n">
        <v>306054</v>
      </c>
      <c r="G103" s="15" t="n">
        <f aca="false">F103-E103</f>
        <v>2244</v>
      </c>
      <c r="H103" s="17" t="n">
        <f aca="false">IFERROR(G103/E103,"")</f>
        <v>0.00738619531944307</v>
      </c>
      <c r="I103" s="26" t="str">
        <f aca="false">IF(F103&gt;E103*1.02,"Unfavourable",IF(F103&lt;E103*0.98,"Favourable","On Target"))</f>
        <v>On Target</v>
      </c>
    </row>
    <row r="104" customFormat="false" ht="15" hidden="false" customHeight="true" outlineLevel="0" collapsed="false">
      <c r="A104" s="12" t="s">
        <v>66</v>
      </c>
      <c r="B104" s="12" t="s">
        <v>64</v>
      </c>
      <c r="C104" s="12" t="s">
        <v>87</v>
      </c>
      <c r="D104" s="12" t="s">
        <v>86</v>
      </c>
      <c r="E104" s="21" t="n">
        <v>101270</v>
      </c>
      <c r="F104" s="21" t="n">
        <v>102323</v>
      </c>
      <c r="G104" s="15" t="n">
        <f aca="false">F104-E104</f>
        <v>1053</v>
      </c>
      <c r="H104" s="17" t="n">
        <f aca="false">IFERROR(G104/E104,"")</f>
        <v>0.010397946084724</v>
      </c>
      <c r="I104" s="26" t="str">
        <f aca="false">IF(F104&gt;E104*1.02,"Unfavourable",IF(F104&lt;E104*0.98,"Favourable","On Target"))</f>
        <v>On Target</v>
      </c>
    </row>
    <row r="105" customFormat="false" ht="15" hidden="false" customHeight="true" outlineLevel="0" collapsed="false">
      <c r="A105" s="12" t="s">
        <v>66</v>
      </c>
      <c r="B105" s="12" t="s">
        <v>64</v>
      </c>
      <c r="C105" s="12" t="s">
        <v>88</v>
      </c>
      <c r="D105" s="12" t="s">
        <v>89</v>
      </c>
      <c r="E105" s="21" t="n">
        <v>34112</v>
      </c>
      <c r="F105" s="21" t="n">
        <v>33272</v>
      </c>
      <c r="G105" s="15" t="n">
        <f aca="false">F105-E105</f>
        <v>-840</v>
      </c>
      <c r="H105" s="17" t="n">
        <f aca="false">IFERROR(G105/E105,"")</f>
        <v>-0.024624765478424</v>
      </c>
      <c r="I105" s="26" t="str">
        <f aca="false">IF(F105&gt;E105*1.02,"Unfavourable",IF(F105&lt;E105*0.98,"Favourable","On Target"))</f>
        <v>Favourable</v>
      </c>
    </row>
    <row r="106" customFormat="false" ht="15" hidden="false" customHeight="true" outlineLevel="0" collapsed="false">
      <c r="A106" s="12" t="s">
        <v>66</v>
      </c>
      <c r="B106" s="12" t="s">
        <v>64</v>
      </c>
      <c r="C106" s="12" t="s">
        <v>90</v>
      </c>
      <c r="D106" s="12" t="s">
        <v>89</v>
      </c>
      <c r="E106" s="21" t="n">
        <v>58630</v>
      </c>
      <c r="F106" s="21" t="n">
        <v>60085</v>
      </c>
      <c r="G106" s="15" t="n">
        <f aca="false">F106-E106</f>
        <v>1455</v>
      </c>
      <c r="H106" s="17" t="n">
        <f aca="false">IFERROR(G106/E106,"")</f>
        <v>0.0248166467678663</v>
      </c>
      <c r="I106" s="26" t="str">
        <f aca="false">IF(F106&gt;E106*1.02,"Unfavourable",IF(F106&lt;E106*0.98,"Favourable","On Target"))</f>
        <v>Unfavourable</v>
      </c>
    </row>
    <row r="107" customFormat="false" ht="15" hidden="false" customHeight="true" outlineLevel="0" collapsed="false">
      <c r="A107" s="12" t="s">
        <v>66</v>
      </c>
      <c r="B107" s="12" t="s">
        <v>64</v>
      </c>
      <c r="C107" s="12" t="s">
        <v>91</v>
      </c>
      <c r="D107" s="12" t="s">
        <v>86</v>
      </c>
      <c r="E107" s="21" t="n">
        <v>29848</v>
      </c>
      <c r="F107" s="21" t="n">
        <v>29783</v>
      </c>
      <c r="G107" s="15" t="n">
        <f aca="false">F107-E107</f>
        <v>-65</v>
      </c>
      <c r="H107" s="17" t="n">
        <f aca="false">IFERROR(G107/E107,"")</f>
        <v>-0.00217770034843206</v>
      </c>
      <c r="I107" s="26" t="str">
        <f aca="false">IF(F107&gt;E107*1.02,"Unfavourable",IF(F107&lt;E107*0.98,"Favourable","On Target"))</f>
        <v>On Target</v>
      </c>
    </row>
    <row r="108" customFormat="false" ht="15" hidden="false" customHeight="true" outlineLevel="0" collapsed="false">
      <c r="A108" s="12" t="s">
        <v>66</v>
      </c>
      <c r="B108" s="12" t="s">
        <v>64</v>
      </c>
      <c r="C108" s="12" t="s">
        <v>92</v>
      </c>
      <c r="D108" s="12" t="s">
        <v>89</v>
      </c>
      <c r="E108" s="21" t="n">
        <v>51168</v>
      </c>
      <c r="F108" s="21" t="n">
        <v>49413</v>
      </c>
      <c r="G108" s="15" t="n">
        <f aca="false">F108-E108</f>
        <v>-1755</v>
      </c>
      <c r="H108" s="17" t="n">
        <f aca="false">IFERROR(G108/E108,"")</f>
        <v>-0.0342987804878049</v>
      </c>
      <c r="I108" s="26" t="str">
        <f aca="false">IF(F108&gt;E108*1.02,"Unfavourable",IF(F108&lt;E108*0.98,"Favourable","On Target"))</f>
        <v>Favourable</v>
      </c>
    </row>
    <row r="109" customFormat="false" ht="15" hidden="false" customHeight="true" outlineLevel="0" collapsed="false">
      <c r="A109" s="12" t="s">
        <v>66</v>
      </c>
      <c r="B109" s="12" t="s">
        <v>64</v>
      </c>
      <c r="C109" s="12" t="s">
        <v>93</v>
      </c>
      <c r="D109" s="12" t="s">
        <v>86</v>
      </c>
      <c r="E109" s="21" t="n">
        <v>19188</v>
      </c>
      <c r="F109" s="21" t="n">
        <v>19842</v>
      </c>
      <c r="G109" s="15" t="n">
        <f aca="false">F109-E109</f>
        <v>654</v>
      </c>
      <c r="H109" s="17" t="n">
        <f aca="false">IFERROR(G109/E109,"")</f>
        <v>0.0340838023764853</v>
      </c>
      <c r="I109" s="26" t="str">
        <f aca="false">IF(F109&gt;E109*1.02,"Unfavourable",IF(F109&lt;E109*0.98,"Favourable","On Target"))</f>
        <v>Unfavourable</v>
      </c>
    </row>
    <row r="110" customFormat="false" ht="15" hidden="false" customHeight="true" outlineLevel="0" collapsed="false">
      <c r="A110" s="12" t="s">
        <v>66</v>
      </c>
      <c r="B110" s="12" t="s">
        <v>64</v>
      </c>
      <c r="C110" s="12" t="s">
        <v>94</v>
      </c>
      <c r="D110" s="12" t="s">
        <v>89</v>
      </c>
      <c r="E110" s="21" t="n">
        <v>15990</v>
      </c>
      <c r="F110" s="21" t="n">
        <v>15216</v>
      </c>
      <c r="G110" s="15" t="n">
        <f aca="false">F110-E110</f>
        <v>-774</v>
      </c>
      <c r="H110" s="17" t="n">
        <f aca="false">IFERROR(G110/E110,"")</f>
        <v>-0.0484052532833021</v>
      </c>
      <c r="I110" s="26" t="str">
        <f aca="false">IF(F110&gt;E110*1.02,"Unfavourable",IF(F110&lt;E110*0.98,"Favourable","On Target"))</f>
        <v>Favourable</v>
      </c>
    </row>
    <row r="111" customFormat="false" ht="15" hidden="false" customHeight="true" outlineLevel="0" collapsed="false">
      <c r="A111" s="12" t="s">
        <v>66</v>
      </c>
      <c r="B111" s="12" t="s">
        <v>64</v>
      </c>
      <c r="C111" s="12" t="s">
        <v>95</v>
      </c>
      <c r="D111" s="12" t="s">
        <v>89</v>
      </c>
      <c r="E111" s="21" t="n">
        <v>12792</v>
      </c>
      <c r="F111" s="21" t="n">
        <v>13035</v>
      </c>
      <c r="G111" s="15" t="n">
        <f aca="false">F111-E111</f>
        <v>243</v>
      </c>
      <c r="H111" s="17" t="n">
        <f aca="false">IFERROR(G111/E111,"")</f>
        <v>0.0189962476547842</v>
      </c>
      <c r="I111" s="26" t="str">
        <f aca="false">IF(F111&gt;E111*1.02,"Unfavourable",IF(F111&lt;E111*0.98,"Favourable","On Target"))</f>
        <v>On Target</v>
      </c>
    </row>
    <row r="113" customFormat="false" ht="21.75" hidden="false" customHeight="true" outlineLevel="0" collapsed="false">
      <c r="A113" s="11" t="s">
        <v>96</v>
      </c>
      <c r="B113" s="11"/>
      <c r="C113" s="11"/>
      <c r="D113" s="11"/>
      <c r="E113" s="11"/>
      <c r="F113" s="11"/>
      <c r="G113" s="11"/>
      <c r="H113" s="11"/>
      <c r="I113" s="11"/>
    </row>
    <row r="115" customFormat="false" ht="15" hidden="false" customHeight="true" outlineLevel="0" collapsed="false">
      <c r="A115" s="6" t="s">
        <v>97</v>
      </c>
    </row>
    <row r="116" customFormat="false" ht="27.75" hidden="false" customHeight="true" outlineLevel="0" collapsed="false">
      <c r="A116" s="7" t="s">
        <v>27</v>
      </c>
      <c r="B116" s="7" t="s">
        <v>79</v>
      </c>
      <c r="C116" s="7"/>
      <c r="D116" s="7" t="s">
        <v>98</v>
      </c>
      <c r="E116" s="7" t="s">
        <v>99</v>
      </c>
      <c r="F116" s="7" t="s">
        <v>100</v>
      </c>
      <c r="G116" s="7" t="s">
        <v>101</v>
      </c>
      <c r="H116" s="7"/>
      <c r="I116" s="7"/>
    </row>
    <row r="117" customFormat="false" ht="15" hidden="false" customHeight="true" outlineLevel="0" collapsed="false">
      <c r="A117" s="27" t="s">
        <v>85</v>
      </c>
      <c r="B117" s="27" t="s">
        <v>86</v>
      </c>
      <c r="D117" s="25" t="n">
        <f aca="false">SUMIF($C$4:$C$111,A117,$E$4:$E$111)</f>
        <v>3532860</v>
      </c>
      <c r="E117" s="25" t="n">
        <f aca="false">SUMIF($C$4:$C$111,A117,$F$4:$F$111)</f>
        <v>3549486</v>
      </c>
      <c r="F117" s="25" t="n">
        <f aca="false">E117-D117</f>
        <v>16626</v>
      </c>
      <c r="G117" s="10" t="n">
        <f aca="false">IFERROR(F117/D117,"")</f>
        <v>0.00470610213821097</v>
      </c>
    </row>
    <row r="118" customFormat="false" ht="15" hidden="false" customHeight="true" outlineLevel="0" collapsed="false">
      <c r="A118" s="27" t="s">
        <v>87</v>
      </c>
      <c r="B118" s="27" t="s">
        <v>86</v>
      </c>
      <c r="D118" s="25" t="n">
        <f aca="false">SUMIF($C$4:$C$111,A118,$E$4:$E$111)</f>
        <v>1177620</v>
      </c>
      <c r="E118" s="25" t="n">
        <f aca="false">SUMIF($C$4:$C$111,A118,$F$4:$F$111)</f>
        <v>1177657</v>
      </c>
      <c r="F118" s="25" t="n">
        <f aca="false">E118-D118</f>
        <v>37</v>
      </c>
      <c r="G118" s="10" t="n">
        <f aca="false">IFERROR(F118/D118,"")</f>
        <v>3.14193033406362E-005</v>
      </c>
    </row>
    <row r="119" customFormat="false" ht="15" hidden="false" customHeight="true" outlineLevel="0" collapsed="false">
      <c r="A119" s="27" t="s">
        <v>88</v>
      </c>
      <c r="B119" s="27" t="s">
        <v>89</v>
      </c>
      <c r="D119" s="25" t="n">
        <f aca="false">SUMIF($C$4:$C$111,A119,$E$4:$E$111)</f>
        <v>404651</v>
      </c>
      <c r="E119" s="25" t="n">
        <f aca="false">SUMIF($C$4:$C$111,A119,$F$4:$F$111)</f>
        <v>412209</v>
      </c>
      <c r="F119" s="25" t="n">
        <f aca="false">E119-D119</f>
        <v>7558</v>
      </c>
      <c r="G119" s="10" t="n">
        <f aca="false">IFERROR(F119/D119,"")</f>
        <v>0.018677823606021</v>
      </c>
    </row>
    <row r="120" customFormat="false" ht="15" hidden="false" customHeight="true" outlineLevel="0" collapsed="false">
      <c r="A120" s="27" t="s">
        <v>90</v>
      </c>
      <c r="B120" s="27" t="s">
        <v>89</v>
      </c>
      <c r="D120" s="25" t="n">
        <f aca="false">SUMIF($C$4:$C$111,A120,$E$4:$E$111)</f>
        <v>721781</v>
      </c>
      <c r="E120" s="25" t="n">
        <f aca="false">SUMIF($C$4:$C$111,A120,$F$4:$F$111)</f>
        <v>733086</v>
      </c>
      <c r="F120" s="25" t="n">
        <f aca="false">E120-D120</f>
        <v>11305</v>
      </c>
      <c r="G120" s="10" t="n">
        <f aca="false">IFERROR(F120/D120,"")</f>
        <v>0.0156626455947164</v>
      </c>
    </row>
    <row r="121" customFormat="false" ht="15" hidden="false" customHeight="true" outlineLevel="0" collapsed="false">
      <c r="A121" s="27" t="s">
        <v>91</v>
      </c>
      <c r="B121" s="27" t="s">
        <v>86</v>
      </c>
      <c r="D121" s="25" t="n">
        <f aca="false">SUMIF($C$4:$C$111,A121,$E$4:$E$111)</f>
        <v>347088</v>
      </c>
      <c r="E121" s="25" t="n">
        <f aca="false">SUMIF($C$4:$C$111,A121,$F$4:$F$111)</f>
        <v>350505</v>
      </c>
      <c r="F121" s="25" t="n">
        <f aca="false">E121-D121</f>
        <v>3417</v>
      </c>
      <c r="G121" s="10" t="n">
        <f aca="false">IFERROR(F121/D121,"")</f>
        <v>0.00984476559258747</v>
      </c>
    </row>
    <row r="122" customFormat="false" ht="15" hidden="false" customHeight="true" outlineLevel="0" collapsed="false">
      <c r="A122" s="27" t="s">
        <v>92</v>
      </c>
      <c r="B122" s="27" t="s">
        <v>89</v>
      </c>
      <c r="D122" s="25" t="n">
        <f aca="false">SUMIF($C$4:$C$111,A122,$E$4:$E$111)</f>
        <v>606977</v>
      </c>
      <c r="E122" s="25" t="n">
        <f aca="false">SUMIF($C$4:$C$111,A122,$F$4:$F$111)</f>
        <v>610608</v>
      </c>
      <c r="F122" s="25" t="n">
        <f aca="false">E122-D122</f>
        <v>3631</v>
      </c>
      <c r="G122" s="10" t="n">
        <f aca="false">IFERROR(F122/D122,"")</f>
        <v>0.00598210475849991</v>
      </c>
    </row>
    <row r="123" customFormat="false" ht="15" hidden="false" customHeight="true" outlineLevel="0" collapsed="false">
      <c r="A123" s="27" t="s">
        <v>93</v>
      </c>
      <c r="B123" s="27" t="s">
        <v>86</v>
      </c>
      <c r="D123" s="25" t="n">
        <f aca="false">SUMIF($C$4:$C$111,A123,$E$4:$E$111)</f>
        <v>223128</v>
      </c>
      <c r="E123" s="25" t="n">
        <f aca="false">SUMIF($C$4:$C$111,A123,$F$4:$F$111)</f>
        <v>227555</v>
      </c>
      <c r="F123" s="25" t="n">
        <f aca="false">E123-D123</f>
        <v>4427</v>
      </c>
      <c r="G123" s="10" t="n">
        <f aca="false">IFERROR(F123/D123,"")</f>
        <v>0.0198406295937758</v>
      </c>
    </row>
    <row r="124" customFormat="false" ht="15" hidden="false" customHeight="true" outlineLevel="0" collapsed="false">
      <c r="A124" s="27" t="s">
        <v>94</v>
      </c>
      <c r="B124" s="27" t="s">
        <v>89</v>
      </c>
      <c r="D124" s="25" t="n">
        <f aca="false">SUMIF($C$4:$C$111,A124,$E$4:$E$111)</f>
        <v>185940</v>
      </c>
      <c r="E124" s="25" t="n">
        <f aca="false">SUMIF($C$4:$C$111,A124,$F$4:$F$111)</f>
        <v>185973</v>
      </c>
      <c r="F124" s="25" t="n">
        <f aca="false">E124-D124</f>
        <v>33</v>
      </c>
      <c r="G124" s="10" t="n">
        <f aca="false">IFERROR(F124/D124,"")</f>
        <v>0.000177476605356567</v>
      </c>
    </row>
    <row r="125" customFormat="false" ht="15" hidden="false" customHeight="true" outlineLevel="0" collapsed="false">
      <c r="A125" s="27" t="s">
        <v>95</v>
      </c>
      <c r="B125" s="27" t="s">
        <v>89</v>
      </c>
      <c r="D125" s="25" t="n">
        <f aca="false">SUMIF($C$4:$C$111,A125,$E$4:$E$111)</f>
        <v>148752</v>
      </c>
      <c r="E125" s="25" t="n">
        <f aca="false">SUMIF($C$4:$C$111,A125,$F$4:$F$111)</f>
        <v>149232</v>
      </c>
      <c r="F125" s="25" t="n">
        <f aca="false">E125-D125</f>
        <v>480</v>
      </c>
      <c r="G125" s="10" t="n">
        <f aca="false">IFERROR(F125/D125,"")</f>
        <v>0.00322684737011939</v>
      </c>
    </row>
    <row r="127" customFormat="false" ht="15" hidden="false" customHeight="true" outlineLevel="0" collapsed="false">
      <c r="A127" s="6" t="s">
        <v>102</v>
      </c>
    </row>
    <row r="128" customFormat="false" ht="27.75" hidden="false" customHeight="true" outlineLevel="0" collapsed="false">
      <c r="A128" s="7" t="s">
        <v>79</v>
      </c>
      <c r="B128" s="7"/>
      <c r="C128" s="7"/>
      <c r="D128" s="7" t="s">
        <v>98</v>
      </c>
      <c r="E128" s="7" t="s">
        <v>99</v>
      </c>
      <c r="F128" s="7" t="s">
        <v>100</v>
      </c>
      <c r="G128" s="7" t="s">
        <v>101</v>
      </c>
      <c r="H128" s="7"/>
      <c r="I128" s="7"/>
    </row>
    <row r="129" customFormat="false" ht="15" hidden="false" customHeight="true" outlineLevel="0" collapsed="false">
      <c r="A129" s="27" t="s">
        <v>86</v>
      </c>
      <c r="D129" s="25" t="n">
        <f aca="false">SUMIF($D$4:$D$111,A129,$E$4:$E$111)</f>
        <v>5280696</v>
      </c>
      <c r="E129" s="25" t="n">
        <f aca="false">SUMIF($D$4:$D$111,A129,$F$4:$F$111)</f>
        <v>5305203</v>
      </c>
      <c r="F129" s="25" t="n">
        <f aca="false">E129-D129</f>
        <v>24507</v>
      </c>
      <c r="G129" s="10" t="n">
        <f aca="false">IFERROR(F129/D129,"")</f>
        <v>0.00464086552227206</v>
      </c>
    </row>
    <row r="130" customFormat="false" ht="15" hidden="false" customHeight="true" outlineLevel="0" collapsed="false">
      <c r="A130" s="27" t="s">
        <v>89</v>
      </c>
      <c r="D130" s="25" t="n">
        <f aca="false">SUMIF($D$4:$D$111,A130,$E$4:$E$111)</f>
        <v>2068101</v>
      </c>
      <c r="E130" s="25" t="n">
        <f aca="false">SUMIF($D$4:$D$111,A130,$F$4:$F$111)</f>
        <v>2091108</v>
      </c>
      <c r="F130" s="25" t="n">
        <f aca="false">E130-D130</f>
        <v>23007</v>
      </c>
      <c r="G130" s="10" t="n">
        <f aca="false">IFERROR(F130/D130,"")</f>
        <v>0.0111246984552495</v>
      </c>
    </row>
    <row r="133" customFormat="false" ht="15" hidden="false" customHeight="true" outlineLevel="0" collapsed="false">
      <c r="A133" s="6" t="s">
        <v>103</v>
      </c>
    </row>
    <row r="134" customFormat="false" ht="27.75" hidden="false" customHeight="true" outlineLevel="0" collapsed="false">
      <c r="A134" s="7" t="s">
        <v>14</v>
      </c>
      <c r="B134" s="7" t="s">
        <v>32</v>
      </c>
      <c r="C134" s="7" t="s">
        <v>78</v>
      </c>
      <c r="D134" s="7" t="s">
        <v>79</v>
      </c>
      <c r="E134" s="7"/>
      <c r="F134" s="7" t="s">
        <v>104</v>
      </c>
      <c r="G134" s="7"/>
      <c r="H134" s="7"/>
      <c r="I134" s="7"/>
    </row>
    <row r="135" customFormat="false" ht="15" hidden="false" customHeight="true" outlineLevel="0" collapsed="false">
      <c r="A135" s="12" t="s">
        <v>67</v>
      </c>
      <c r="B135" s="12" t="s">
        <v>48</v>
      </c>
      <c r="C135" s="12" t="s">
        <v>85</v>
      </c>
      <c r="D135" s="12" t="s">
        <v>86</v>
      </c>
      <c r="E135" s="28"/>
      <c r="F135" s="21" t="n">
        <v>308030</v>
      </c>
    </row>
    <row r="136" customFormat="false" ht="15" hidden="false" customHeight="true" outlineLevel="0" collapsed="false">
      <c r="A136" s="12" t="s">
        <v>67</v>
      </c>
      <c r="B136" s="12" t="s">
        <v>48</v>
      </c>
      <c r="C136" s="12" t="s">
        <v>87</v>
      </c>
      <c r="D136" s="12" t="s">
        <v>86</v>
      </c>
      <c r="E136" s="28"/>
      <c r="F136" s="21" t="n">
        <v>103040.05</v>
      </c>
    </row>
    <row r="137" customFormat="false" ht="15" hidden="false" customHeight="true" outlineLevel="0" collapsed="false">
      <c r="A137" s="12" t="s">
        <v>67</v>
      </c>
      <c r="B137" s="12" t="s">
        <v>48</v>
      </c>
      <c r="C137" s="12" t="s">
        <v>88</v>
      </c>
      <c r="D137" s="12" t="s">
        <v>89</v>
      </c>
      <c r="E137" s="28"/>
      <c r="F137" s="21" t="n">
        <v>33552.17</v>
      </c>
    </row>
    <row r="138" customFormat="false" ht="15" hidden="false" customHeight="true" outlineLevel="0" collapsed="false">
      <c r="A138" s="12" t="s">
        <v>67</v>
      </c>
      <c r="B138" s="12" t="s">
        <v>48</v>
      </c>
      <c r="C138" s="12" t="s">
        <v>90</v>
      </c>
      <c r="D138" s="12" t="s">
        <v>89</v>
      </c>
      <c r="E138" s="28"/>
      <c r="F138" s="21" t="n">
        <v>61064.99</v>
      </c>
    </row>
    <row r="139" customFormat="false" ht="15" hidden="false" customHeight="true" outlineLevel="0" collapsed="false">
      <c r="A139" s="12" t="s">
        <v>67</v>
      </c>
      <c r="B139" s="12" t="s">
        <v>48</v>
      </c>
      <c r="C139" s="12" t="s">
        <v>91</v>
      </c>
      <c r="D139" s="12" t="s">
        <v>86</v>
      </c>
      <c r="E139" s="28"/>
      <c r="F139" s="21" t="n">
        <v>29978.6</v>
      </c>
    </row>
    <row r="140" customFormat="false" ht="15" hidden="false" customHeight="true" outlineLevel="0" collapsed="false">
      <c r="A140" s="12" t="s">
        <v>67</v>
      </c>
      <c r="B140" s="12" t="s">
        <v>48</v>
      </c>
      <c r="C140" s="12" t="s">
        <v>92</v>
      </c>
      <c r="D140" s="12" t="s">
        <v>89</v>
      </c>
      <c r="E140" s="28"/>
      <c r="F140" s="21" t="n">
        <v>49859.85</v>
      </c>
    </row>
    <row r="141" customFormat="false" ht="15" hidden="false" customHeight="true" outlineLevel="0" collapsed="false">
      <c r="A141" s="12" t="s">
        <v>67</v>
      </c>
      <c r="B141" s="12" t="s">
        <v>48</v>
      </c>
      <c r="C141" s="12" t="s">
        <v>93</v>
      </c>
      <c r="D141" s="12" t="s">
        <v>86</v>
      </c>
      <c r="E141" s="28"/>
      <c r="F141" s="21" t="n">
        <v>20022.08</v>
      </c>
    </row>
    <row r="142" customFormat="false" ht="15" hidden="false" customHeight="true" outlineLevel="0" collapsed="false">
      <c r="A142" s="12" t="s">
        <v>67</v>
      </c>
      <c r="B142" s="12" t="s">
        <v>48</v>
      </c>
      <c r="C142" s="12" t="s">
        <v>94</v>
      </c>
      <c r="D142" s="12" t="s">
        <v>89</v>
      </c>
      <c r="E142" s="28"/>
      <c r="F142" s="21" t="n">
        <v>15220.69</v>
      </c>
    </row>
    <row r="143" customFormat="false" ht="15" hidden="false" customHeight="true" outlineLevel="0" collapsed="false">
      <c r="A143" s="12" t="s">
        <v>67</v>
      </c>
      <c r="B143" s="12" t="s">
        <v>48</v>
      </c>
      <c r="C143" s="12" t="s">
        <v>95</v>
      </c>
      <c r="D143" s="12" t="s">
        <v>89</v>
      </c>
      <c r="E143" s="28"/>
      <c r="F143" s="21" t="n">
        <v>13161.14</v>
      </c>
    </row>
    <row r="144" customFormat="false" ht="15" hidden="false" customHeight="true" outlineLevel="0" collapsed="false">
      <c r="A144" s="12" t="s">
        <v>68</v>
      </c>
      <c r="B144" s="12" t="s">
        <v>48</v>
      </c>
      <c r="C144" s="12" t="s">
        <v>85</v>
      </c>
      <c r="D144" s="12" t="s">
        <v>86</v>
      </c>
      <c r="E144" s="28"/>
      <c r="F144" s="21" t="n">
        <v>310018.76</v>
      </c>
    </row>
    <row r="145" customFormat="false" ht="15" hidden="false" customHeight="true" outlineLevel="0" collapsed="false">
      <c r="A145" s="12" t="s">
        <v>68</v>
      </c>
      <c r="B145" s="12" t="s">
        <v>48</v>
      </c>
      <c r="C145" s="12" t="s">
        <v>87</v>
      </c>
      <c r="D145" s="12" t="s">
        <v>86</v>
      </c>
      <c r="E145" s="28"/>
      <c r="F145" s="21" t="n">
        <v>103762.13</v>
      </c>
    </row>
    <row r="146" customFormat="false" ht="15" hidden="false" customHeight="true" outlineLevel="0" collapsed="false">
      <c r="A146" s="12" t="s">
        <v>68</v>
      </c>
      <c r="B146" s="12" t="s">
        <v>48</v>
      </c>
      <c r="C146" s="12" t="s">
        <v>88</v>
      </c>
      <c r="D146" s="12" t="s">
        <v>89</v>
      </c>
      <c r="E146" s="28"/>
      <c r="F146" s="21" t="n">
        <v>33834.69</v>
      </c>
    </row>
    <row r="147" customFormat="false" ht="15" hidden="false" customHeight="true" outlineLevel="0" collapsed="false">
      <c r="A147" s="12" t="s">
        <v>68</v>
      </c>
      <c r="B147" s="12" t="s">
        <v>48</v>
      </c>
      <c r="C147" s="12" t="s">
        <v>90</v>
      </c>
      <c r="D147" s="12" t="s">
        <v>89</v>
      </c>
      <c r="E147" s="28"/>
      <c r="F147" s="21" t="n">
        <v>62060.95</v>
      </c>
    </row>
    <row r="148" customFormat="false" ht="15" hidden="false" customHeight="true" outlineLevel="0" collapsed="false">
      <c r="A148" s="12" t="s">
        <v>68</v>
      </c>
      <c r="B148" s="12" t="s">
        <v>48</v>
      </c>
      <c r="C148" s="12" t="s">
        <v>91</v>
      </c>
      <c r="D148" s="12" t="s">
        <v>86</v>
      </c>
      <c r="E148" s="28"/>
      <c r="F148" s="21" t="n">
        <v>30175.49</v>
      </c>
    </row>
    <row r="149" customFormat="false" ht="15" hidden="false" customHeight="true" outlineLevel="0" collapsed="false">
      <c r="A149" s="12" t="s">
        <v>68</v>
      </c>
      <c r="B149" s="12" t="s">
        <v>48</v>
      </c>
      <c r="C149" s="12" t="s">
        <v>92</v>
      </c>
      <c r="D149" s="12" t="s">
        <v>89</v>
      </c>
      <c r="E149" s="28"/>
      <c r="F149" s="21" t="n">
        <v>50310.75</v>
      </c>
    </row>
    <row r="150" customFormat="false" ht="15" hidden="false" customHeight="true" outlineLevel="0" collapsed="false">
      <c r="A150" s="12" t="s">
        <v>68</v>
      </c>
      <c r="B150" s="12" t="s">
        <v>48</v>
      </c>
      <c r="C150" s="12" t="s">
        <v>93</v>
      </c>
      <c r="D150" s="12" t="s">
        <v>86</v>
      </c>
      <c r="E150" s="28"/>
      <c r="F150" s="21" t="n">
        <v>20203.78</v>
      </c>
    </row>
    <row r="151" customFormat="false" ht="15" hidden="false" customHeight="true" outlineLevel="0" collapsed="false">
      <c r="A151" s="12" t="s">
        <v>68</v>
      </c>
      <c r="B151" s="12" t="s">
        <v>48</v>
      </c>
      <c r="C151" s="12" t="s">
        <v>94</v>
      </c>
      <c r="D151" s="12" t="s">
        <v>89</v>
      </c>
      <c r="E151" s="28"/>
      <c r="F151" s="21" t="n">
        <v>15225.39</v>
      </c>
    </row>
    <row r="152" customFormat="false" ht="15" hidden="false" customHeight="true" outlineLevel="0" collapsed="false">
      <c r="A152" s="12" t="s">
        <v>68</v>
      </c>
      <c r="B152" s="12" t="s">
        <v>48</v>
      </c>
      <c r="C152" s="12" t="s">
        <v>95</v>
      </c>
      <c r="D152" s="12" t="s">
        <v>89</v>
      </c>
      <c r="E152" s="28"/>
      <c r="F152" s="21" t="n">
        <v>13288.5</v>
      </c>
    </row>
    <row r="153" customFormat="false" ht="15" hidden="false" customHeight="true" outlineLevel="0" collapsed="false">
      <c r="A153" s="12" t="s">
        <v>69</v>
      </c>
      <c r="B153" s="12" t="s">
        <v>48</v>
      </c>
      <c r="C153" s="12" t="s">
        <v>85</v>
      </c>
      <c r="D153" s="12" t="s">
        <v>86</v>
      </c>
      <c r="E153" s="28"/>
      <c r="F153" s="21" t="n">
        <v>312020.36</v>
      </c>
    </row>
    <row r="154" customFormat="false" ht="15" hidden="false" customHeight="true" outlineLevel="0" collapsed="false">
      <c r="A154" s="12" t="s">
        <v>69</v>
      </c>
      <c r="B154" s="12" t="s">
        <v>48</v>
      </c>
      <c r="C154" s="12" t="s">
        <v>87</v>
      </c>
      <c r="D154" s="12" t="s">
        <v>86</v>
      </c>
      <c r="E154" s="28"/>
      <c r="F154" s="21" t="n">
        <v>104489.26</v>
      </c>
    </row>
    <row r="155" customFormat="false" ht="15" hidden="false" customHeight="true" outlineLevel="0" collapsed="false">
      <c r="A155" s="12" t="s">
        <v>69</v>
      </c>
      <c r="B155" s="12" t="s">
        <v>48</v>
      </c>
      <c r="C155" s="12" t="s">
        <v>88</v>
      </c>
      <c r="D155" s="12" t="s">
        <v>89</v>
      </c>
      <c r="E155" s="28"/>
      <c r="F155" s="21" t="n">
        <v>34119.6</v>
      </c>
    </row>
    <row r="156" customFormat="false" ht="15" hidden="false" customHeight="true" outlineLevel="0" collapsed="false">
      <c r="A156" s="12" t="s">
        <v>69</v>
      </c>
      <c r="B156" s="12" t="s">
        <v>48</v>
      </c>
      <c r="C156" s="12" t="s">
        <v>90</v>
      </c>
      <c r="D156" s="12" t="s">
        <v>89</v>
      </c>
      <c r="E156" s="28"/>
      <c r="F156" s="21" t="n">
        <v>63073.17</v>
      </c>
    </row>
    <row r="157" customFormat="false" ht="15" hidden="false" customHeight="true" outlineLevel="0" collapsed="false">
      <c r="A157" s="12" t="s">
        <v>69</v>
      </c>
      <c r="B157" s="12" t="s">
        <v>48</v>
      </c>
      <c r="C157" s="12" t="s">
        <v>91</v>
      </c>
      <c r="D157" s="12" t="s">
        <v>86</v>
      </c>
      <c r="E157" s="28"/>
      <c r="F157" s="21" t="n">
        <v>30373.68</v>
      </c>
    </row>
    <row r="158" customFormat="false" ht="15" hidden="false" customHeight="true" outlineLevel="0" collapsed="false">
      <c r="A158" s="12" t="s">
        <v>69</v>
      </c>
      <c r="B158" s="12" t="s">
        <v>48</v>
      </c>
      <c r="C158" s="12" t="s">
        <v>92</v>
      </c>
      <c r="D158" s="12" t="s">
        <v>89</v>
      </c>
      <c r="E158" s="28"/>
      <c r="F158" s="21" t="n">
        <v>50765.72</v>
      </c>
    </row>
    <row r="159" customFormat="false" ht="15" hidden="false" customHeight="true" outlineLevel="0" collapsed="false">
      <c r="A159" s="12" t="s">
        <v>69</v>
      </c>
      <c r="B159" s="12" t="s">
        <v>48</v>
      </c>
      <c r="C159" s="12" t="s">
        <v>93</v>
      </c>
      <c r="D159" s="12" t="s">
        <v>86</v>
      </c>
      <c r="E159" s="28"/>
      <c r="F159" s="21" t="n">
        <v>20387.14</v>
      </c>
    </row>
    <row r="160" customFormat="false" ht="15" hidden="false" customHeight="true" outlineLevel="0" collapsed="false">
      <c r="A160" s="12" t="s">
        <v>69</v>
      </c>
      <c r="B160" s="12" t="s">
        <v>48</v>
      </c>
      <c r="C160" s="12" t="s">
        <v>94</v>
      </c>
      <c r="D160" s="12" t="s">
        <v>89</v>
      </c>
      <c r="E160" s="28"/>
      <c r="F160" s="21" t="n">
        <v>15230.08</v>
      </c>
    </row>
    <row r="161" customFormat="false" ht="15" hidden="false" customHeight="true" outlineLevel="0" collapsed="false">
      <c r="A161" s="12" t="s">
        <v>69</v>
      </c>
      <c r="B161" s="12" t="s">
        <v>48</v>
      </c>
      <c r="C161" s="12" t="s">
        <v>95</v>
      </c>
      <c r="D161" s="12" t="s">
        <v>89</v>
      </c>
      <c r="E161" s="28"/>
      <c r="F161" s="21" t="n">
        <v>13417.09</v>
      </c>
    </row>
    <row r="162" customFormat="false" ht="15" hidden="false" customHeight="true" outlineLevel="0" collapsed="false">
      <c r="A162" s="12" t="s">
        <v>70</v>
      </c>
      <c r="B162" s="12" t="s">
        <v>56</v>
      </c>
      <c r="C162" s="12" t="s">
        <v>85</v>
      </c>
      <c r="D162" s="12" t="s">
        <v>86</v>
      </c>
      <c r="E162" s="28"/>
      <c r="F162" s="21" t="n">
        <v>314034.88</v>
      </c>
    </row>
    <row r="163" customFormat="false" ht="15" hidden="false" customHeight="true" outlineLevel="0" collapsed="false">
      <c r="A163" s="12" t="s">
        <v>70</v>
      </c>
      <c r="B163" s="12" t="s">
        <v>56</v>
      </c>
      <c r="C163" s="12" t="s">
        <v>87</v>
      </c>
      <c r="D163" s="12" t="s">
        <v>86</v>
      </c>
      <c r="E163" s="28"/>
      <c r="F163" s="21" t="n">
        <v>105221.5</v>
      </c>
    </row>
    <row r="164" customFormat="false" ht="15" hidden="false" customHeight="true" outlineLevel="0" collapsed="false">
      <c r="A164" s="12" t="s">
        <v>70</v>
      </c>
      <c r="B164" s="12" t="s">
        <v>56</v>
      </c>
      <c r="C164" s="12" t="s">
        <v>88</v>
      </c>
      <c r="D164" s="12" t="s">
        <v>89</v>
      </c>
      <c r="E164" s="28"/>
      <c r="F164" s="21" t="n">
        <v>34406.9</v>
      </c>
    </row>
    <row r="165" customFormat="false" ht="15" hidden="false" customHeight="true" outlineLevel="0" collapsed="false">
      <c r="A165" s="12" t="s">
        <v>70</v>
      </c>
      <c r="B165" s="12" t="s">
        <v>56</v>
      </c>
      <c r="C165" s="12" t="s">
        <v>90</v>
      </c>
      <c r="D165" s="12" t="s">
        <v>89</v>
      </c>
      <c r="E165" s="28"/>
      <c r="F165" s="21" t="n">
        <v>64101.89</v>
      </c>
    </row>
    <row r="166" customFormat="false" ht="15" hidden="false" customHeight="true" outlineLevel="0" collapsed="false">
      <c r="A166" s="12" t="s">
        <v>70</v>
      </c>
      <c r="B166" s="12" t="s">
        <v>56</v>
      </c>
      <c r="C166" s="12" t="s">
        <v>91</v>
      </c>
      <c r="D166" s="12" t="s">
        <v>86</v>
      </c>
      <c r="E166" s="28"/>
      <c r="F166" s="21" t="n">
        <v>30573.16</v>
      </c>
    </row>
    <row r="167" customFormat="false" ht="15" hidden="false" customHeight="true" outlineLevel="0" collapsed="false">
      <c r="A167" s="12" t="s">
        <v>70</v>
      </c>
      <c r="B167" s="12" t="s">
        <v>56</v>
      </c>
      <c r="C167" s="12" t="s">
        <v>92</v>
      </c>
      <c r="D167" s="12" t="s">
        <v>89</v>
      </c>
      <c r="E167" s="28"/>
      <c r="F167" s="21" t="n">
        <v>51224.81</v>
      </c>
    </row>
    <row r="168" customFormat="false" ht="15" hidden="false" customHeight="true" outlineLevel="0" collapsed="false">
      <c r="A168" s="12" t="s">
        <v>70</v>
      </c>
      <c r="B168" s="12" t="s">
        <v>56</v>
      </c>
      <c r="C168" s="12" t="s">
        <v>93</v>
      </c>
      <c r="D168" s="12" t="s">
        <v>86</v>
      </c>
      <c r="E168" s="28"/>
      <c r="F168" s="21" t="n">
        <v>20572.17</v>
      </c>
    </row>
    <row r="169" customFormat="false" ht="15" hidden="false" customHeight="true" outlineLevel="0" collapsed="false">
      <c r="A169" s="12" t="s">
        <v>70</v>
      </c>
      <c r="B169" s="12" t="s">
        <v>56</v>
      </c>
      <c r="C169" s="12" t="s">
        <v>94</v>
      </c>
      <c r="D169" s="12" t="s">
        <v>89</v>
      </c>
      <c r="E169" s="28"/>
      <c r="F169" s="21" t="n">
        <v>15234.78</v>
      </c>
    </row>
    <row r="170" customFormat="false" ht="15" hidden="false" customHeight="true" outlineLevel="0" collapsed="false">
      <c r="A170" s="12" t="s">
        <v>70</v>
      </c>
      <c r="B170" s="12" t="s">
        <v>56</v>
      </c>
      <c r="C170" s="12" t="s">
        <v>95</v>
      </c>
      <c r="D170" s="12" t="s">
        <v>89</v>
      </c>
      <c r="E170" s="28"/>
      <c r="F170" s="21" t="n">
        <v>13546.93</v>
      </c>
    </row>
    <row r="171" customFormat="false" ht="15" hidden="false" customHeight="true" outlineLevel="0" collapsed="false">
      <c r="A171" s="12" t="s">
        <v>71</v>
      </c>
      <c r="B171" s="12" t="s">
        <v>56</v>
      </c>
      <c r="C171" s="12" t="s">
        <v>85</v>
      </c>
      <c r="D171" s="12" t="s">
        <v>86</v>
      </c>
      <c r="E171" s="28"/>
      <c r="F171" s="21" t="n">
        <v>316062.41</v>
      </c>
    </row>
    <row r="172" customFormat="false" ht="15" hidden="false" customHeight="true" outlineLevel="0" collapsed="false">
      <c r="A172" s="12" t="s">
        <v>71</v>
      </c>
      <c r="B172" s="12" t="s">
        <v>56</v>
      </c>
      <c r="C172" s="12" t="s">
        <v>87</v>
      </c>
      <c r="D172" s="12" t="s">
        <v>86</v>
      </c>
      <c r="E172" s="28"/>
      <c r="F172" s="21" t="n">
        <v>105958.86</v>
      </c>
    </row>
    <row r="173" customFormat="false" ht="15" hidden="false" customHeight="true" outlineLevel="0" collapsed="false">
      <c r="A173" s="12" t="s">
        <v>71</v>
      </c>
      <c r="B173" s="12" t="s">
        <v>56</v>
      </c>
      <c r="C173" s="12" t="s">
        <v>88</v>
      </c>
      <c r="D173" s="12" t="s">
        <v>89</v>
      </c>
      <c r="E173" s="28"/>
      <c r="F173" s="21" t="n">
        <v>34696.63</v>
      </c>
    </row>
    <row r="174" customFormat="false" ht="15" hidden="false" customHeight="true" outlineLevel="0" collapsed="false">
      <c r="A174" s="12" t="s">
        <v>71</v>
      </c>
      <c r="B174" s="12" t="s">
        <v>56</v>
      </c>
      <c r="C174" s="12" t="s">
        <v>90</v>
      </c>
      <c r="D174" s="12" t="s">
        <v>89</v>
      </c>
      <c r="E174" s="28"/>
      <c r="F174" s="21" t="n">
        <v>65147.39</v>
      </c>
    </row>
    <row r="175" customFormat="false" ht="15" hidden="false" customHeight="true" outlineLevel="0" collapsed="false">
      <c r="A175" s="12" t="s">
        <v>71</v>
      </c>
      <c r="B175" s="12" t="s">
        <v>56</v>
      </c>
      <c r="C175" s="12" t="s">
        <v>91</v>
      </c>
      <c r="D175" s="12" t="s">
        <v>86</v>
      </c>
      <c r="E175" s="28"/>
      <c r="F175" s="21" t="n">
        <v>30773.95</v>
      </c>
    </row>
    <row r="176" customFormat="false" ht="15" hidden="false" customHeight="true" outlineLevel="0" collapsed="false">
      <c r="A176" s="12" t="s">
        <v>71</v>
      </c>
      <c r="B176" s="12" t="s">
        <v>56</v>
      </c>
      <c r="C176" s="12" t="s">
        <v>92</v>
      </c>
      <c r="D176" s="12" t="s">
        <v>89</v>
      </c>
      <c r="E176" s="28"/>
      <c r="F176" s="21" t="n">
        <v>51688.05</v>
      </c>
    </row>
    <row r="177" customFormat="false" ht="15" hidden="false" customHeight="true" outlineLevel="0" collapsed="false">
      <c r="A177" s="12" t="s">
        <v>71</v>
      </c>
      <c r="B177" s="12" t="s">
        <v>56</v>
      </c>
      <c r="C177" s="12" t="s">
        <v>93</v>
      </c>
      <c r="D177" s="12" t="s">
        <v>86</v>
      </c>
      <c r="E177" s="28"/>
      <c r="F177" s="21" t="n">
        <v>20758.87</v>
      </c>
    </row>
    <row r="178" customFormat="false" ht="15" hidden="false" customHeight="true" outlineLevel="0" collapsed="false">
      <c r="A178" s="12" t="s">
        <v>71</v>
      </c>
      <c r="B178" s="12" t="s">
        <v>56</v>
      </c>
      <c r="C178" s="12" t="s">
        <v>94</v>
      </c>
      <c r="D178" s="12" t="s">
        <v>89</v>
      </c>
      <c r="E178" s="28"/>
      <c r="F178" s="21" t="n">
        <v>15239.48</v>
      </c>
    </row>
    <row r="179" customFormat="false" ht="15" hidden="false" customHeight="true" outlineLevel="0" collapsed="false">
      <c r="A179" s="12" t="s">
        <v>71</v>
      </c>
      <c r="B179" s="12" t="s">
        <v>56</v>
      </c>
      <c r="C179" s="12" t="s">
        <v>95</v>
      </c>
      <c r="D179" s="12" t="s">
        <v>89</v>
      </c>
      <c r="E179" s="28"/>
      <c r="F179" s="21" t="n">
        <v>13678.02</v>
      </c>
    </row>
    <row r="180" customFormat="false" ht="15" hidden="false" customHeight="true" outlineLevel="0" collapsed="false">
      <c r="A180" s="12" t="s">
        <v>72</v>
      </c>
      <c r="B180" s="12" t="s">
        <v>56</v>
      </c>
      <c r="C180" s="12" t="s">
        <v>85</v>
      </c>
      <c r="D180" s="12" t="s">
        <v>86</v>
      </c>
      <c r="E180" s="28"/>
      <c r="F180" s="21" t="n">
        <v>318103.03</v>
      </c>
    </row>
    <row r="181" customFormat="false" ht="15" hidden="false" customHeight="true" outlineLevel="0" collapsed="false">
      <c r="A181" s="12" t="s">
        <v>72</v>
      </c>
      <c r="B181" s="12" t="s">
        <v>56</v>
      </c>
      <c r="C181" s="12" t="s">
        <v>87</v>
      </c>
      <c r="D181" s="12" t="s">
        <v>86</v>
      </c>
      <c r="E181" s="28"/>
      <c r="F181" s="21" t="n">
        <v>106701.39</v>
      </c>
    </row>
    <row r="182" customFormat="false" ht="15" hidden="false" customHeight="true" outlineLevel="0" collapsed="false">
      <c r="A182" s="12" t="s">
        <v>72</v>
      </c>
      <c r="B182" s="12" t="s">
        <v>56</v>
      </c>
      <c r="C182" s="12" t="s">
        <v>88</v>
      </c>
      <c r="D182" s="12" t="s">
        <v>89</v>
      </c>
      <c r="E182" s="28"/>
      <c r="F182" s="21" t="n">
        <v>34988.79</v>
      </c>
    </row>
    <row r="183" customFormat="false" ht="15" hidden="false" customHeight="true" outlineLevel="0" collapsed="false">
      <c r="A183" s="12" t="s">
        <v>72</v>
      </c>
      <c r="B183" s="12" t="s">
        <v>56</v>
      </c>
      <c r="C183" s="12" t="s">
        <v>90</v>
      </c>
      <c r="D183" s="12" t="s">
        <v>89</v>
      </c>
      <c r="E183" s="28"/>
      <c r="F183" s="21" t="n">
        <v>66209.94</v>
      </c>
    </row>
    <row r="184" customFormat="false" ht="15" hidden="false" customHeight="true" outlineLevel="0" collapsed="false">
      <c r="A184" s="12" t="s">
        <v>72</v>
      </c>
      <c r="B184" s="12" t="s">
        <v>56</v>
      </c>
      <c r="C184" s="12" t="s">
        <v>91</v>
      </c>
      <c r="D184" s="12" t="s">
        <v>86</v>
      </c>
      <c r="E184" s="28"/>
      <c r="F184" s="21" t="n">
        <v>30976.07</v>
      </c>
    </row>
    <row r="185" customFormat="false" ht="15" hidden="false" customHeight="true" outlineLevel="0" collapsed="false">
      <c r="A185" s="12" t="s">
        <v>72</v>
      </c>
      <c r="B185" s="12" t="s">
        <v>56</v>
      </c>
      <c r="C185" s="12" t="s">
        <v>92</v>
      </c>
      <c r="D185" s="12" t="s">
        <v>89</v>
      </c>
      <c r="E185" s="28"/>
      <c r="F185" s="21" t="n">
        <v>52155.48</v>
      </c>
    </row>
    <row r="186" customFormat="false" ht="15" hidden="false" customHeight="true" outlineLevel="0" collapsed="false">
      <c r="A186" s="12" t="s">
        <v>72</v>
      </c>
      <c r="B186" s="12" t="s">
        <v>56</v>
      </c>
      <c r="C186" s="12" t="s">
        <v>93</v>
      </c>
      <c r="D186" s="12" t="s">
        <v>86</v>
      </c>
      <c r="E186" s="28"/>
      <c r="F186" s="21" t="n">
        <v>20947.26</v>
      </c>
    </row>
    <row r="187" customFormat="false" ht="15" hidden="false" customHeight="true" outlineLevel="0" collapsed="false">
      <c r="A187" s="12" t="s">
        <v>72</v>
      </c>
      <c r="B187" s="12" t="s">
        <v>56</v>
      </c>
      <c r="C187" s="12" t="s">
        <v>94</v>
      </c>
      <c r="D187" s="12" t="s">
        <v>89</v>
      </c>
      <c r="E187" s="28"/>
      <c r="F187" s="21" t="n">
        <v>15244.18</v>
      </c>
    </row>
    <row r="188" customFormat="false" ht="15" hidden="false" customHeight="true" outlineLevel="0" collapsed="false">
      <c r="A188" s="12" t="s">
        <v>72</v>
      </c>
      <c r="B188" s="12" t="s">
        <v>56</v>
      </c>
      <c r="C188" s="12" t="s">
        <v>95</v>
      </c>
      <c r="D188" s="12" t="s">
        <v>89</v>
      </c>
      <c r="E188" s="28"/>
      <c r="F188" s="21" t="n">
        <v>13810.38</v>
      </c>
    </row>
  </sheetData>
  <mergeCells count="2">
    <mergeCell ref="A1:I1"/>
    <mergeCell ref="A113:I113"/>
  </mergeCells>
  <conditionalFormatting sqref="I4:I111">
    <cfRule type="cellIs" priority="2" operator="equal" aboveAverage="0" equalAverage="0" bottom="0" percent="0" rank="0" text="" dxfId="7">
      <formula>"Unfavourable"</formula>
    </cfRule>
    <cfRule type="cellIs" priority="3" operator="equal" aboveAverage="0" equalAverage="0" bottom="0" percent="0" rank="0" text="" dxfId="8">
      <formula>"Favourable"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8"/>
    <col collapsed="false" customWidth="true" hidden="false" outlineLevel="0" max="4" min="3" style="1" width="14"/>
    <col collapsed="false" customWidth="true" hidden="false" outlineLevel="0" max="5" min="5" style="1" width="13"/>
    <col collapsed="false" customWidth="true" hidden="false" outlineLevel="0" max="6" min="6" style="1" width="12"/>
    <col collapsed="false" customWidth="true" hidden="false" outlineLevel="0" max="7" min="7" style="1" width="13"/>
    <col collapsed="false" customWidth="true" hidden="false" outlineLevel="0" max="9" min="8" style="1" width="14"/>
    <col collapsed="false" customWidth="true" hidden="false" outlineLevel="0" max="10" min="10" style="1" width="13"/>
    <col collapsed="false" customWidth="true" hidden="false" outlineLevel="0" max="11" min="11" style="1" width="12"/>
    <col collapsed="false" customWidth="true" hidden="false" outlineLevel="0" max="12" min="12" style="1" width="13"/>
    <col collapsed="false" customWidth="true" hidden="false" outlineLevel="0" max="14" min="13" style="1" width="14"/>
    <col collapsed="false" customWidth="true" hidden="false" outlineLevel="0" max="15" min="15" style="1" width="13"/>
    <col collapsed="false" customWidth="true" hidden="false" outlineLevel="0" max="16" min="16" style="1" width="12"/>
    <col collapsed="false" customWidth="true" hidden="false" outlineLevel="0" max="17" min="17" style="1" width="13"/>
  </cols>
  <sheetData>
    <row r="1" customFormat="false" ht="21.75" hidden="false" customHeight="true" outlineLevel="0" collapsed="false">
      <c r="A1" s="2" t="s">
        <v>105</v>
      </c>
      <c r="B1" s="2"/>
      <c r="C1" s="2"/>
      <c r="D1" s="2"/>
      <c r="E1" s="2"/>
      <c r="F1" s="2"/>
      <c r="G1" s="2"/>
      <c r="H1" s="2"/>
      <c r="I1" s="2"/>
      <c r="J1" s="2"/>
      <c r="K1" s="2"/>
      <c r="L1" s="2"/>
      <c r="M1" s="2"/>
      <c r="N1" s="2"/>
      <c r="O1" s="2"/>
      <c r="P1" s="2"/>
      <c r="Q1" s="2"/>
    </row>
    <row r="3" customFormat="false" ht="27.75" hidden="false" customHeight="true" outlineLevel="0" collapsed="false">
      <c r="A3" s="7" t="s">
        <v>14</v>
      </c>
      <c r="B3" s="7" t="s">
        <v>32</v>
      </c>
      <c r="C3" s="7" t="s">
        <v>106</v>
      </c>
      <c r="D3" s="7" t="s">
        <v>107</v>
      </c>
      <c r="E3" s="7" t="s">
        <v>108</v>
      </c>
      <c r="F3" s="7" t="s">
        <v>109</v>
      </c>
      <c r="G3" s="7" t="s">
        <v>110</v>
      </c>
      <c r="H3" s="7" t="s">
        <v>111</v>
      </c>
      <c r="I3" s="7" t="s">
        <v>112</v>
      </c>
      <c r="J3" s="7" t="s">
        <v>113</v>
      </c>
      <c r="K3" s="7" t="s">
        <v>114</v>
      </c>
      <c r="L3" s="7" t="s">
        <v>115</v>
      </c>
      <c r="M3" s="7" t="s">
        <v>116</v>
      </c>
      <c r="N3" s="7" t="s">
        <v>117</v>
      </c>
      <c r="O3" s="7" t="s">
        <v>118</v>
      </c>
      <c r="P3" s="7" t="s">
        <v>119</v>
      </c>
      <c r="Q3" s="7" t="s">
        <v>120</v>
      </c>
    </row>
    <row r="4" customFormat="false" ht="15" hidden="false" customHeight="true" outlineLevel="0" collapsed="false">
      <c r="A4" s="12" t="s">
        <v>47</v>
      </c>
      <c r="B4" s="12" t="s">
        <v>48</v>
      </c>
      <c r="C4" s="29" t="n">
        <f aca="false">SUMIF('Revenue Planning'!$A$4:$A$51,A4,'Revenue Planning'!$F$4:$F$51)</f>
        <v>2861000</v>
      </c>
      <c r="D4" s="29" t="n">
        <f aca="false">SUMIF('Revenue Planning'!$A$4:$A$51,A4,'Revenue Planning'!$I$4:$I$51)</f>
        <v>2874061.94</v>
      </c>
      <c r="E4" s="15" t="n">
        <f aca="false">D4-C4</f>
        <v>13061.9399999999</v>
      </c>
      <c r="F4" s="17" t="n">
        <f aca="false">IFERROR(E4/C4,"")</f>
        <v>0.00456551555400208</v>
      </c>
      <c r="G4" s="26" t="str">
        <f aca="false">IF(D4&gt;=C4*0.99,"Favourable","Unfavourable")</f>
        <v>Favourable</v>
      </c>
      <c r="H4" s="29" t="n">
        <f aca="false">SUMIF('Expense Budget'!$A$4:$A$111,A4,'Expense Budget'!$E$4:$E$111)+SUMIF('Revenue Planning'!$A$4:$A$51,A4,'Revenue Planning'!$N$4:$N$51)</f>
        <v>2371400</v>
      </c>
      <c r="I4" s="29" t="n">
        <f aca="false">SUMIF('Expense Budget'!$A$4:$A$111,A4,'Expense Budget'!$F$4:$F$111)+SUMIF('Revenue Planning'!$A$4:$A$51,A4,'Revenue Planning'!$P$4:$P$51)</f>
        <v>2371148.492708</v>
      </c>
      <c r="J4" s="15" t="n">
        <f aca="false">I4-H4</f>
        <v>-251.507292000111</v>
      </c>
      <c r="K4" s="17" t="n">
        <f aca="false">IFERROR(J4/H4,"")</f>
        <v>-0.000106058569621368</v>
      </c>
      <c r="L4" s="26" t="str">
        <f aca="false">IF(I4&lt;=H4*1.01,"Favourable","Unfavourable")</f>
        <v>Favourable</v>
      </c>
      <c r="M4" s="15" t="n">
        <f aca="false">C4-H4</f>
        <v>489600</v>
      </c>
      <c r="N4" s="15" t="n">
        <f aca="false">D4-I4</f>
        <v>502913.447292</v>
      </c>
      <c r="O4" s="15" t="n">
        <f aca="false">N4-M4</f>
        <v>13313.4472920001</v>
      </c>
      <c r="P4" s="17" t="n">
        <f aca="false">IFERROR(O4/M4,"")</f>
        <v>0.0271924985539217</v>
      </c>
      <c r="Q4" s="26" t="str">
        <f aca="false">IF(N4&gt;=M4*0.99,"Favourable","Unfavourable")</f>
        <v>Favourable</v>
      </c>
    </row>
    <row r="5" customFormat="false" ht="15" hidden="false" customHeight="true" outlineLevel="0" collapsed="false">
      <c r="A5" s="12" t="s">
        <v>53</v>
      </c>
      <c r="B5" s="12" t="s">
        <v>48</v>
      </c>
      <c r="C5" s="29" t="n">
        <f aca="false">SUMIF('Revenue Planning'!$A$4:$A$51,A5,'Revenue Planning'!$F$4:$F$51)</f>
        <v>2978440.7</v>
      </c>
      <c r="D5" s="29" t="n">
        <f aca="false">SUMIF('Revenue Planning'!$A$4:$A$51,A5,'Revenue Planning'!$I$4:$I$51)</f>
        <v>2956844.19</v>
      </c>
      <c r="E5" s="15" t="n">
        <f aca="false">D5-C5</f>
        <v>-21596.5100000002</v>
      </c>
      <c r="F5" s="17" t="n">
        <f aca="false">IFERROR(E5/C5,"")</f>
        <v>-0.00725094510023323</v>
      </c>
      <c r="G5" s="26" t="str">
        <f aca="false">IF(D5&gt;=C5*0.99,"Favourable","Unfavourable")</f>
        <v>Favourable</v>
      </c>
      <c r="H5" s="29" t="n">
        <f aca="false">SUMIF('Expense Budget'!$A$4:$A$111,A5,'Expense Budget'!$E$4:$E$111)+SUMIF('Revenue Planning'!$A$4:$A$51,A5,'Revenue Planning'!$N$4:$N$51)</f>
        <v>2446171.8996</v>
      </c>
      <c r="I5" s="29" t="n">
        <f aca="false">SUMIF('Expense Budget'!$A$4:$A$111,A5,'Expense Budget'!$F$4:$F$111)+SUMIF('Revenue Planning'!$A$4:$A$51,A5,'Revenue Planning'!$P$4:$P$51)</f>
        <v>2437711.095905</v>
      </c>
      <c r="J5" s="15" t="n">
        <f aca="false">I5-H5</f>
        <v>-8460.80369500024</v>
      </c>
      <c r="K5" s="17" t="n">
        <f aca="false">IFERROR(J5/H5,"")</f>
        <v>-0.00345879359352618</v>
      </c>
      <c r="L5" s="26" t="str">
        <f aca="false">IF(I5&lt;=H5*1.01,"Favourable","Unfavourable")</f>
        <v>Favourable</v>
      </c>
      <c r="M5" s="15" t="n">
        <f aca="false">C5-H5</f>
        <v>532268.8004</v>
      </c>
      <c r="N5" s="15" t="n">
        <f aca="false">D5-I5</f>
        <v>519133.094095</v>
      </c>
      <c r="O5" s="15" t="n">
        <f aca="false">N5-M5</f>
        <v>-13135.706305</v>
      </c>
      <c r="P5" s="17" t="n">
        <f aca="false">IFERROR(O5/M5,"")</f>
        <v>-0.024678708004543</v>
      </c>
      <c r="Q5" s="26" t="str">
        <f aca="false">IF(N5&gt;=M5*0.99,"Favourable","Unfavourable")</f>
        <v>Unfavourable</v>
      </c>
    </row>
    <row r="6" customFormat="false" ht="15" hidden="false" customHeight="true" outlineLevel="0" collapsed="false">
      <c r="A6" s="12" t="s">
        <v>54</v>
      </c>
      <c r="B6" s="12" t="s">
        <v>48</v>
      </c>
      <c r="C6" s="29" t="n">
        <f aca="false">SUMIF('Revenue Planning'!$A$4:$A$51,A6,'Revenue Planning'!$F$4:$F$51)</f>
        <v>2943903.76</v>
      </c>
      <c r="D6" s="29" t="n">
        <f aca="false">SUMIF('Revenue Planning'!$A$4:$A$51,A6,'Revenue Planning'!$I$4:$I$51)</f>
        <v>2920238.24</v>
      </c>
      <c r="E6" s="15" t="n">
        <f aca="false">D6-C6</f>
        <v>-23665.5199999996</v>
      </c>
      <c r="F6" s="17" t="n">
        <f aca="false">IFERROR(E6/C6,"")</f>
        <v>-0.00803882257346604</v>
      </c>
      <c r="G6" s="26" t="str">
        <f aca="false">IF(D6&gt;=C6*0.99,"Favourable","Unfavourable")</f>
        <v>Favourable</v>
      </c>
      <c r="H6" s="29" t="n">
        <f aca="false">SUMIF('Expense Budget'!$A$4:$A$111,A6,'Expense Budget'!$E$4:$E$111)+SUMIF('Revenue Planning'!$A$4:$A$51,A6,'Revenue Planning'!$N$4:$N$51)</f>
        <v>2429053.5582</v>
      </c>
      <c r="I6" s="29" t="n">
        <f aca="false">SUMIF('Expense Budget'!$A$4:$A$111,A6,'Expense Budget'!$F$4:$F$111)+SUMIF('Revenue Planning'!$A$4:$A$51,A6,'Revenue Planning'!$P$4:$P$51)</f>
        <v>2447488.962186</v>
      </c>
      <c r="J6" s="15" t="n">
        <f aca="false">I6-H6</f>
        <v>18435.4039860005</v>
      </c>
      <c r="K6" s="17" t="n">
        <f aca="false">IFERROR(J6/H6,"")</f>
        <v>0.00758954199415085</v>
      </c>
      <c r="L6" s="26" t="str">
        <f aca="false">IF(I6&lt;=H6*1.01,"Favourable","Unfavourable")</f>
        <v>Favourable</v>
      </c>
      <c r="M6" s="15" t="n">
        <f aca="false">C6-H6</f>
        <v>514850.2018</v>
      </c>
      <c r="N6" s="15" t="n">
        <f aca="false">D6-I6</f>
        <v>472749.277814</v>
      </c>
      <c r="O6" s="15" t="n">
        <f aca="false">N6-M6</f>
        <v>-42100.923986</v>
      </c>
      <c r="P6" s="17" t="n">
        <f aca="false">IFERROR(O6/M6,"")</f>
        <v>-0.0817731523437465</v>
      </c>
      <c r="Q6" s="26" t="str">
        <f aca="false">IF(N6&gt;=M6*0.99,"Favourable","Unfavourable")</f>
        <v>Unfavourable</v>
      </c>
    </row>
    <row r="7" customFormat="false" ht="15" hidden="false" customHeight="true" outlineLevel="0" collapsed="false">
      <c r="A7" s="12" t="s">
        <v>55</v>
      </c>
      <c r="B7" s="12" t="s">
        <v>56</v>
      </c>
      <c r="C7" s="29" t="n">
        <f aca="false">SUMIF('Revenue Planning'!$A$4:$A$51,A7,'Revenue Planning'!$F$4:$F$51)</f>
        <v>2742366.99</v>
      </c>
      <c r="D7" s="29" t="n">
        <f aca="false">SUMIF('Revenue Planning'!$A$4:$A$51,A7,'Revenue Planning'!$I$4:$I$51)</f>
        <v>2661268.87</v>
      </c>
      <c r="E7" s="15" t="n">
        <f aca="false">D7-C7</f>
        <v>-81098.1199999997</v>
      </c>
      <c r="F7" s="17" t="n">
        <f aca="false">IFERROR(E7/C7,"")</f>
        <v>-0.0295723075342296</v>
      </c>
      <c r="G7" s="26" t="str">
        <f aca="false">IF(D7&gt;=C7*0.99,"Favourable","Unfavourable")</f>
        <v>Unfavourable</v>
      </c>
      <c r="H7" s="29" t="n">
        <f aca="false">SUMIF('Expense Budget'!$A$4:$A$111,A7,'Expense Budget'!$E$4:$E$111)+SUMIF('Revenue Planning'!$A$4:$A$51,A7,'Revenue Planning'!$N$4:$N$51)</f>
        <v>2312882.558</v>
      </c>
      <c r="I7" s="29" t="n">
        <f aca="false">SUMIF('Expense Budget'!$A$4:$A$111,A7,'Expense Budget'!$F$4:$F$111)+SUMIF('Revenue Planning'!$A$4:$A$51,A7,'Revenue Planning'!$P$4:$P$51)</f>
        <v>2300692.024766</v>
      </c>
      <c r="J7" s="15" t="n">
        <f aca="false">I7-H7</f>
        <v>-12190.5332340002</v>
      </c>
      <c r="K7" s="17" t="n">
        <f aca="false">IFERROR(J7/H7,"")</f>
        <v>-0.00527071000290721</v>
      </c>
      <c r="L7" s="26" t="str">
        <f aca="false">IF(I7&lt;=H7*1.01,"Favourable","Unfavourable")</f>
        <v>Favourable</v>
      </c>
      <c r="M7" s="15" t="n">
        <f aca="false">C7-H7</f>
        <v>429484.432</v>
      </c>
      <c r="N7" s="15" t="n">
        <f aca="false">D7-I7</f>
        <v>360576.845234</v>
      </c>
      <c r="O7" s="15" t="n">
        <f aca="false">N7-M7</f>
        <v>-68907.5867659994</v>
      </c>
      <c r="P7" s="17" t="n">
        <f aca="false">IFERROR(O7/M7,"")</f>
        <v>-0.160442571678592</v>
      </c>
      <c r="Q7" s="26" t="str">
        <f aca="false">IF(N7&gt;=M7*0.99,"Favourable","Unfavourable")</f>
        <v>Unfavourable</v>
      </c>
    </row>
    <row r="8" customFormat="false" ht="15" hidden="false" customHeight="true" outlineLevel="0" collapsed="false">
      <c r="A8" s="12" t="s">
        <v>57</v>
      </c>
      <c r="B8" s="12" t="s">
        <v>56</v>
      </c>
      <c r="C8" s="29" t="n">
        <f aca="false">SUMIF('Revenue Planning'!$A$4:$A$51,A8,'Revenue Planning'!$F$4:$F$51)</f>
        <v>2743148.7</v>
      </c>
      <c r="D8" s="29" t="n">
        <f aca="false">SUMIF('Revenue Planning'!$A$4:$A$51,A8,'Revenue Planning'!$I$4:$I$51)</f>
        <v>2611563.16</v>
      </c>
      <c r="E8" s="15" t="n">
        <f aca="false">D8-C8</f>
        <v>-131585.54</v>
      </c>
      <c r="F8" s="17" t="n">
        <f aca="false">IFERROR(E8/C8,"")</f>
        <v>-0.0479687958585692</v>
      </c>
      <c r="G8" s="26" t="str">
        <f aca="false">IF(D8&gt;=C8*0.99,"Favourable","Unfavourable")</f>
        <v>Unfavourable</v>
      </c>
      <c r="H8" s="29" t="n">
        <f aca="false">SUMIF('Expense Budget'!$A$4:$A$111,A8,'Expense Budget'!$E$4:$E$111)+SUMIF('Revenue Planning'!$A$4:$A$51,A8,'Revenue Planning'!$N$4:$N$51)</f>
        <v>2317691.3656</v>
      </c>
      <c r="I8" s="29" t="n">
        <f aca="false">SUMIF('Expense Budget'!$A$4:$A$111,A8,'Expense Budget'!$F$4:$F$111)+SUMIF('Revenue Planning'!$A$4:$A$51,A8,'Revenue Planning'!$P$4:$P$51)</f>
        <v>2282909.76752</v>
      </c>
      <c r="J8" s="15" t="n">
        <f aca="false">I8-H8</f>
        <v>-34781.5980799999</v>
      </c>
      <c r="K8" s="17" t="n">
        <f aca="false">IFERROR(J8/H8,"")</f>
        <v>-0.0150070016207683</v>
      </c>
      <c r="L8" s="26" t="str">
        <f aca="false">IF(I8&lt;=H8*1.01,"Favourable","Unfavourable")</f>
        <v>Favourable</v>
      </c>
      <c r="M8" s="15" t="n">
        <f aca="false">C8-H8</f>
        <v>425457.3344</v>
      </c>
      <c r="N8" s="15" t="n">
        <f aca="false">D8-I8</f>
        <v>328653.39248</v>
      </c>
      <c r="O8" s="15" t="n">
        <f aca="false">N8-M8</f>
        <v>-96803.9419199997</v>
      </c>
      <c r="P8" s="17" t="n">
        <f aca="false">IFERROR(O8/M8,"")</f>
        <v>-0.22752914121581</v>
      </c>
      <c r="Q8" s="26" t="str">
        <f aca="false">IF(N8&gt;=M8*0.99,"Favourable","Unfavourable")</f>
        <v>Unfavourable</v>
      </c>
    </row>
    <row r="9" customFormat="false" ht="15" hidden="false" customHeight="true" outlineLevel="0" collapsed="false">
      <c r="A9" s="12" t="s">
        <v>58</v>
      </c>
      <c r="B9" s="12" t="s">
        <v>56</v>
      </c>
      <c r="C9" s="29" t="n">
        <f aca="false">SUMIF('Revenue Planning'!$A$4:$A$51,A9,'Revenue Planning'!$F$4:$F$51)</f>
        <v>2843333.82</v>
      </c>
      <c r="D9" s="29" t="n">
        <f aca="false">SUMIF('Revenue Planning'!$A$4:$A$51,A9,'Revenue Planning'!$I$4:$I$51)</f>
        <v>2826123.68</v>
      </c>
      <c r="E9" s="15" t="n">
        <f aca="false">D9-C9</f>
        <v>-17210.1399999997</v>
      </c>
      <c r="F9" s="17" t="n">
        <f aca="false">IFERROR(E9/C9,"")</f>
        <v>-0.00605280318439699</v>
      </c>
      <c r="G9" s="26" t="str">
        <f aca="false">IF(D9&gt;=C9*0.99,"Favourable","Unfavourable")</f>
        <v>Favourable</v>
      </c>
      <c r="H9" s="29" t="n">
        <f aca="false">SUMIF('Expense Budget'!$A$4:$A$111,A9,'Expense Budget'!$E$4:$E$111)+SUMIF('Revenue Planning'!$A$4:$A$51,A9,'Revenue Planning'!$N$4:$N$51)</f>
        <v>2383317.2448</v>
      </c>
      <c r="I9" s="29" t="n">
        <f aca="false">SUMIF('Expense Budget'!$A$4:$A$111,A9,'Expense Budget'!$F$4:$F$111)+SUMIF('Revenue Planning'!$A$4:$A$51,A9,'Revenue Planning'!$P$4:$P$51)</f>
        <v>2364068.271716</v>
      </c>
      <c r="J9" s="15" t="n">
        <f aca="false">I9-H9</f>
        <v>-19248.9730839999</v>
      </c>
      <c r="K9" s="17" t="n">
        <f aca="false">IFERROR(J9/H9,"")</f>
        <v>-0.008076546723269</v>
      </c>
      <c r="L9" s="26" t="str">
        <f aca="false">IF(I9&lt;=H9*1.01,"Favourable","Unfavourable")</f>
        <v>Favourable</v>
      </c>
      <c r="M9" s="15" t="n">
        <f aca="false">C9-H9</f>
        <v>460016.5752</v>
      </c>
      <c r="N9" s="15" t="n">
        <f aca="false">D9-I9</f>
        <v>462055.408284</v>
      </c>
      <c r="O9" s="15" t="n">
        <f aca="false">N9-M9</f>
        <v>2038.83308400027</v>
      </c>
      <c r="P9" s="17" t="n">
        <f aca="false">IFERROR(O9/M9,"")</f>
        <v>0.00443208613323087</v>
      </c>
      <c r="Q9" s="26" t="str">
        <f aca="false">IF(N9&gt;=M9*0.99,"Favourable","Unfavourable")</f>
        <v>Favourable</v>
      </c>
    </row>
    <row r="10" customFormat="false" ht="15" hidden="false" customHeight="true" outlineLevel="0" collapsed="false">
      <c r="A10" s="12" t="s">
        <v>59</v>
      </c>
      <c r="B10" s="12" t="s">
        <v>60</v>
      </c>
      <c r="C10" s="29" t="n">
        <f aca="false">SUMIF('Revenue Planning'!$A$4:$A$51,A10,'Revenue Planning'!$F$4:$F$51)</f>
        <v>3308101.5</v>
      </c>
      <c r="D10" s="29" t="n">
        <f aca="false">SUMIF('Revenue Planning'!$A$4:$A$51,A10,'Revenue Planning'!$I$4:$I$51)</f>
        <v>3579618.24</v>
      </c>
      <c r="E10" s="15" t="n">
        <f aca="false">D10-C10</f>
        <v>271516.74</v>
      </c>
      <c r="F10" s="17" t="n">
        <f aca="false">IFERROR(E10/C10,"")</f>
        <v>0.0820763026769282</v>
      </c>
      <c r="G10" s="26" t="str">
        <f aca="false">IF(D10&gt;=C10*0.99,"Favourable","Unfavourable")</f>
        <v>Favourable</v>
      </c>
      <c r="H10" s="29" t="n">
        <f aca="false">SUMIF('Expense Budget'!$A$4:$A$111,A10,'Expense Budget'!$E$4:$E$111)+SUMIF('Revenue Planning'!$A$4:$A$51,A10,'Revenue Planning'!$N$4:$N$51)</f>
        <v>2705340.548</v>
      </c>
      <c r="I10" s="29" t="n">
        <f aca="false">SUMIF('Expense Budget'!$A$4:$A$111,A10,'Expense Budget'!$F$4:$F$111)+SUMIF('Revenue Planning'!$A$4:$A$51,A10,'Revenue Planning'!$P$4:$P$51)</f>
        <v>2869470.359468</v>
      </c>
      <c r="J10" s="15" t="n">
        <f aca="false">I10-H10</f>
        <v>164129.811468</v>
      </c>
      <c r="K10" s="17" t="n">
        <f aca="false">IFERROR(J10/H10,"")</f>
        <v>0.0606688173100195</v>
      </c>
      <c r="L10" s="26" t="str">
        <f aca="false">IF(I10&lt;=H10*1.01,"Favourable","Unfavourable")</f>
        <v>Unfavourable</v>
      </c>
      <c r="M10" s="15" t="n">
        <f aca="false">C10-H10</f>
        <v>602760.952</v>
      </c>
      <c r="N10" s="15" t="n">
        <f aca="false">D10-I10</f>
        <v>710147.880532</v>
      </c>
      <c r="O10" s="15" t="n">
        <f aca="false">N10-M10</f>
        <v>107386.928532</v>
      </c>
      <c r="P10" s="17" t="n">
        <f aca="false">IFERROR(O10/M10,"")</f>
        <v>0.178158402888713</v>
      </c>
      <c r="Q10" s="26" t="str">
        <f aca="false">IF(N10&gt;=M10*0.99,"Favourable","Unfavourable")</f>
        <v>Favourable</v>
      </c>
    </row>
    <row r="11" customFormat="false" ht="15" hidden="false" customHeight="true" outlineLevel="0" collapsed="false">
      <c r="A11" s="12" t="s">
        <v>61</v>
      </c>
      <c r="B11" s="12" t="s">
        <v>60</v>
      </c>
      <c r="C11" s="29" t="n">
        <f aca="false">SUMIF('Revenue Planning'!$A$4:$A$51,A11,'Revenue Planning'!$F$4:$F$51)</f>
        <v>3456789.67</v>
      </c>
      <c r="D11" s="29" t="n">
        <f aca="false">SUMIF('Revenue Planning'!$A$4:$A$51,A11,'Revenue Planning'!$I$4:$I$51)</f>
        <v>3669694.39</v>
      </c>
      <c r="E11" s="15" t="n">
        <f aca="false">D11-C11</f>
        <v>212904.72</v>
      </c>
      <c r="F11" s="17" t="n">
        <f aca="false">IFERROR(E11/C11,"")</f>
        <v>0.0615903020793279</v>
      </c>
      <c r="G11" s="26" t="str">
        <f aca="false">IF(D11&gt;=C11*0.99,"Favourable","Unfavourable")</f>
        <v>Favourable</v>
      </c>
      <c r="H11" s="29" t="n">
        <f aca="false">SUMIF('Expense Budget'!$A$4:$A$111,A11,'Expense Budget'!$E$4:$E$111)+SUMIF('Revenue Planning'!$A$4:$A$51,A11,'Revenue Planning'!$N$4:$N$51)</f>
        <v>2804484.3362</v>
      </c>
      <c r="I11" s="29" t="n">
        <f aca="false">SUMIF('Expense Budget'!$A$4:$A$111,A11,'Expense Budget'!$F$4:$F$111)+SUMIF('Revenue Planning'!$A$4:$A$51,A11,'Revenue Planning'!$P$4:$P$51)</f>
        <v>2932696.963887</v>
      </c>
      <c r="J11" s="15" t="n">
        <f aca="false">I11-H11</f>
        <v>128212.627687</v>
      </c>
      <c r="K11" s="17" t="n">
        <f aca="false">IFERROR(J11/H11,"")</f>
        <v>0.04571700616475</v>
      </c>
      <c r="L11" s="26" t="str">
        <f aca="false">IF(I11&lt;=H11*1.01,"Favourable","Unfavourable")</f>
        <v>Unfavourable</v>
      </c>
      <c r="M11" s="15" t="n">
        <f aca="false">C11-H11</f>
        <v>652305.3338</v>
      </c>
      <c r="N11" s="15" t="n">
        <f aca="false">D11-I11</f>
        <v>736997.426113</v>
      </c>
      <c r="O11" s="15" t="n">
        <f aca="false">N11-M11</f>
        <v>84692.092313</v>
      </c>
      <c r="P11" s="17" t="n">
        <f aca="false">IFERROR(O11/M11,"")</f>
        <v>0.1298350449162</v>
      </c>
      <c r="Q11" s="26" t="str">
        <f aca="false">IF(N11&gt;=M11*0.99,"Favourable","Unfavourable")</f>
        <v>Favourable</v>
      </c>
    </row>
    <row r="12" customFormat="false" ht="15" hidden="false" customHeight="true" outlineLevel="0" collapsed="false">
      <c r="A12" s="12" t="s">
        <v>62</v>
      </c>
      <c r="B12" s="12" t="s">
        <v>60</v>
      </c>
      <c r="C12" s="29" t="n">
        <f aca="false">SUMIF('Revenue Planning'!$A$4:$A$51,A12,'Revenue Planning'!$F$4:$F$51)</f>
        <v>3144592.85</v>
      </c>
      <c r="D12" s="29" t="n">
        <f aca="false">SUMIF('Revenue Planning'!$A$4:$A$51,A12,'Revenue Planning'!$I$4:$I$51)</f>
        <v>3131490.95</v>
      </c>
      <c r="E12" s="15" t="n">
        <f aca="false">D12-C12</f>
        <v>-13101.8999999999</v>
      </c>
      <c r="F12" s="17" t="n">
        <f aca="false">IFERROR(E12/C12,"")</f>
        <v>-0.00416648533688548</v>
      </c>
      <c r="G12" s="26" t="str">
        <f aca="false">IF(D12&gt;=C12*0.99,"Favourable","Unfavourable")</f>
        <v>Favourable</v>
      </c>
      <c r="H12" s="29" t="n">
        <f aca="false">SUMIF('Expense Budget'!$A$4:$A$111,A12,'Expense Budget'!$E$4:$E$111)+SUMIF('Revenue Planning'!$A$4:$A$51,A12,'Revenue Planning'!$N$4:$N$51)</f>
        <v>2581234.7936</v>
      </c>
      <c r="I12" s="29" t="n">
        <f aca="false">SUMIF('Expense Budget'!$A$4:$A$111,A12,'Expense Budget'!$F$4:$F$111)+SUMIF('Revenue Planning'!$A$4:$A$51,A12,'Revenue Planning'!$P$4:$P$51)</f>
        <v>2563749.979818</v>
      </c>
      <c r="J12" s="15" t="n">
        <f aca="false">I12-H12</f>
        <v>-17484.813782</v>
      </c>
      <c r="K12" s="17" t="n">
        <f aca="false">IFERROR(J12/H12,"")</f>
        <v>-0.00677381764160022</v>
      </c>
      <c r="L12" s="26" t="str">
        <f aca="false">IF(I12&lt;=H12*1.01,"Favourable","Unfavourable")</f>
        <v>Favourable</v>
      </c>
      <c r="M12" s="15" t="n">
        <f aca="false">C12-H12</f>
        <v>563358.0564</v>
      </c>
      <c r="N12" s="15" t="n">
        <f aca="false">D12-I12</f>
        <v>567740.970182</v>
      </c>
      <c r="O12" s="15" t="n">
        <f aca="false">N12-M12</f>
        <v>4382.91378200008</v>
      </c>
      <c r="P12" s="17" t="n">
        <f aca="false">IFERROR(O12/M12,"")</f>
        <v>0.00777997888236125</v>
      </c>
      <c r="Q12" s="26" t="str">
        <f aca="false">IF(N12&gt;=M12*0.99,"Favourable","Unfavourable")</f>
        <v>Favourable</v>
      </c>
    </row>
    <row r="13" customFormat="false" ht="15" hidden="false" customHeight="true" outlineLevel="0" collapsed="false">
      <c r="A13" s="12" t="s">
        <v>63</v>
      </c>
      <c r="B13" s="12" t="s">
        <v>64</v>
      </c>
      <c r="C13" s="29" t="n">
        <f aca="false">SUMIF('Revenue Planning'!$A$4:$A$51,A13,'Revenue Planning'!$F$4:$F$51)</f>
        <v>2770198.68</v>
      </c>
      <c r="D13" s="29" t="n">
        <f aca="false">SUMIF('Revenue Planning'!$A$4:$A$51,A13,'Revenue Planning'!$I$4:$I$51)</f>
        <v>2469819.37</v>
      </c>
      <c r="E13" s="15" t="n">
        <f aca="false">D13-C13</f>
        <v>-300379.31</v>
      </c>
      <c r="F13" s="17" t="n">
        <f aca="false">IFERROR(E13/C13,"")</f>
        <v>-0.108432406732646</v>
      </c>
      <c r="G13" s="26" t="str">
        <f aca="false">IF(D13&gt;=C13*0.99,"Favourable","Unfavourable")</f>
        <v>Unfavourable</v>
      </c>
      <c r="H13" s="29" t="n">
        <f aca="false">SUMIF('Expense Budget'!$A$4:$A$111,A13,'Expense Budget'!$E$4:$E$111)+SUMIF('Revenue Planning'!$A$4:$A$51,A13,'Revenue Planning'!$N$4:$N$51)</f>
        <v>2354496.4276</v>
      </c>
      <c r="I13" s="29" t="n">
        <f aca="false">SUMIF('Expense Budget'!$A$4:$A$111,A13,'Expense Budget'!$F$4:$F$111)+SUMIF('Revenue Planning'!$A$4:$A$51,A13,'Revenue Planning'!$P$4:$P$51)</f>
        <v>2206679.637388</v>
      </c>
      <c r="J13" s="15" t="n">
        <f aca="false">I13-H13</f>
        <v>-147816.790212</v>
      </c>
      <c r="K13" s="17" t="n">
        <f aca="false">IFERROR(J13/H13,"")</f>
        <v>-0.0627806389847333</v>
      </c>
      <c r="L13" s="26" t="str">
        <f aca="false">IF(I13&lt;=H13*1.01,"Favourable","Unfavourable")</f>
        <v>Favourable</v>
      </c>
      <c r="M13" s="15" t="n">
        <f aca="false">C13-H13</f>
        <v>415702.2524</v>
      </c>
      <c r="N13" s="15" t="n">
        <f aca="false">D13-I13</f>
        <v>263139.732612</v>
      </c>
      <c r="O13" s="15" t="n">
        <f aca="false">N13-M13</f>
        <v>-152562.519788</v>
      </c>
      <c r="P13" s="17" t="n">
        <f aca="false">IFERROR(O13/M13,"")</f>
        <v>-0.366999502425598</v>
      </c>
      <c r="Q13" s="26" t="str">
        <f aca="false">IF(N13&gt;=M13*0.99,"Favourable","Unfavourable")</f>
        <v>Unfavourable</v>
      </c>
    </row>
    <row r="14" customFormat="false" ht="15" hidden="false" customHeight="true" outlineLevel="0" collapsed="false">
      <c r="A14" s="12" t="s">
        <v>65</v>
      </c>
      <c r="B14" s="12" t="s">
        <v>64</v>
      </c>
      <c r="C14" s="29" t="n">
        <f aca="false">SUMIF('Revenue Planning'!$A$4:$A$51,A14,'Revenue Planning'!$F$4:$F$51)</f>
        <v>2836900.5</v>
      </c>
      <c r="D14" s="29" t="n">
        <f aca="false">SUMIF('Revenue Planning'!$A$4:$A$51,A14,'Revenue Planning'!$I$4:$I$51)</f>
        <v>2830605.62</v>
      </c>
      <c r="E14" s="15" t="n">
        <f aca="false">D14-C14</f>
        <v>-6294.87999999989</v>
      </c>
      <c r="F14" s="17" t="n">
        <f aca="false">IFERROR(E14/C14,"")</f>
        <v>-0.00221892872168054</v>
      </c>
      <c r="G14" s="26" t="str">
        <f aca="false">IF(D14&gt;=C14*0.99,"Favourable","Unfavourable")</f>
        <v>Favourable</v>
      </c>
      <c r="H14" s="29" t="n">
        <f aca="false">SUMIF('Expense Budget'!$A$4:$A$111,A14,'Expense Budget'!$E$4:$E$111)+SUMIF('Revenue Planning'!$A$4:$A$51,A14,'Revenue Planning'!$N$4:$N$51)</f>
        <v>2397655.272</v>
      </c>
      <c r="I14" s="29" t="n">
        <f aca="false">SUMIF('Expense Budget'!$A$4:$A$111,A14,'Expense Budget'!$F$4:$F$111)+SUMIF('Revenue Planning'!$A$4:$A$51,A14,'Revenue Planning'!$P$4:$P$51)</f>
        <v>2390328.811954</v>
      </c>
      <c r="J14" s="15" t="n">
        <f aca="false">I14-H14</f>
        <v>-7326.46004599985</v>
      </c>
      <c r="K14" s="17" t="n">
        <f aca="false">IFERROR(J14/H14,"")</f>
        <v>-0.00305567699058276</v>
      </c>
      <c r="L14" s="26" t="str">
        <f aca="false">IF(I14&lt;=H14*1.01,"Favourable","Unfavourable")</f>
        <v>Favourable</v>
      </c>
      <c r="M14" s="15" t="n">
        <f aca="false">C14-H14</f>
        <v>439245.228</v>
      </c>
      <c r="N14" s="15" t="n">
        <f aca="false">D14-I14</f>
        <v>440276.808046</v>
      </c>
      <c r="O14" s="15" t="n">
        <f aca="false">N14-M14</f>
        <v>1031.58004599996</v>
      </c>
      <c r="P14" s="17" t="n">
        <f aca="false">IFERROR(O14/M14,"")</f>
        <v>0.00234852874941184</v>
      </c>
      <c r="Q14" s="26" t="str">
        <f aca="false">IF(N14&gt;=M14*0.99,"Favourable","Unfavourable")</f>
        <v>Favourable</v>
      </c>
    </row>
    <row r="15" customFormat="false" ht="15" hidden="false" customHeight="true" outlineLevel="0" collapsed="false">
      <c r="A15" s="12" t="s">
        <v>66</v>
      </c>
      <c r="B15" s="12" t="s">
        <v>64</v>
      </c>
      <c r="C15" s="29" t="n">
        <f aca="false">SUMIF('Revenue Planning'!$A$4:$A$51,A15,'Revenue Planning'!$F$4:$F$51)</f>
        <v>3056072.76</v>
      </c>
      <c r="D15" s="29" t="n">
        <f aca="false">SUMIF('Revenue Planning'!$A$4:$A$51,A15,'Revenue Planning'!$I$4:$I$51)</f>
        <v>3028929.74</v>
      </c>
      <c r="E15" s="15" t="n">
        <f aca="false">D15-C15</f>
        <v>-27143.0200000005</v>
      </c>
      <c r="F15" s="17" t="n">
        <f aca="false">IFERROR(E15/C15,"")</f>
        <v>-0.00888166680952992</v>
      </c>
      <c r="G15" s="26" t="str">
        <f aca="false">IF(D15&gt;=C15*0.99,"Favourable","Unfavourable")</f>
        <v>Favourable</v>
      </c>
      <c r="H15" s="29" t="n">
        <f aca="false">SUMIF('Expense Budget'!$A$4:$A$111,A15,'Expense Budget'!$E$4:$E$111)+SUMIF('Revenue Planning'!$A$4:$A$51,A15,'Revenue Planning'!$N$4:$N$51)</f>
        <v>2534445.0612</v>
      </c>
      <c r="I15" s="29" t="n">
        <f aca="false">SUMIF('Expense Budget'!$A$4:$A$111,A15,'Expense Budget'!$F$4:$F$111)+SUMIF('Revenue Planning'!$A$4:$A$51,A15,'Revenue Planning'!$P$4:$P$51)</f>
        <v>2524316.984724</v>
      </c>
      <c r="J15" s="15" t="n">
        <f aca="false">I15-H15</f>
        <v>-10128.0764760003</v>
      </c>
      <c r="K15" s="17" t="n">
        <f aca="false">IFERROR(J15/H15,"")</f>
        <v>-0.00399617124515804</v>
      </c>
      <c r="L15" s="26" t="str">
        <f aca="false">IF(I15&lt;=H15*1.01,"Favourable","Unfavourable")</f>
        <v>Favourable</v>
      </c>
      <c r="M15" s="15" t="n">
        <f aca="false">C15-H15</f>
        <v>521627.6988</v>
      </c>
      <c r="N15" s="15" t="n">
        <f aca="false">D15-I15</f>
        <v>504612.755276</v>
      </c>
      <c r="O15" s="15" t="n">
        <f aca="false">N15-M15</f>
        <v>-17014.9435240002</v>
      </c>
      <c r="P15" s="17" t="n">
        <f aca="false">IFERROR(O15/M15,"")</f>
        <v>-0.0326189417531756</v>
      </c>
      <c r="Q15" s="26" t="str">
        <f aca="false">IF(N15&gt;=M15*0.99,"Favourable","Unfavourable")</f>
        <v>Unfavourable</v>
      </c>
    </row>
    <row r="16" customFormat="false" ht="15" hidden="false" customHeight="true" outlineLevel="0" collapsed="false">
      <c r="A16" s="30" t="s">
        <v>121</v>
      </c>
      <c r="B16" s="30"/>
      <c r="C16" s="31" t="n">
        <f aca="false">SUM(C4:C15)</f>
        <v>35684849.93</v>
      </c>
      <c r="D16" s="31" t="n">
        <f aca="false">SUM(D4:D15)</f>
        <v>35560258.39</v>
      </c>
      <c r="E16" s="31" t="n">
        <f aca="false">SUM(E4:E15)</f>
        <v>-124591.539999999</v>
      </c>
      <c r="F16" s="32" t="n">
        <f aca="false">IFERROR(E16/C16,"")</f>
        <v>-0.00349144077232774</v>
      </c>
      <c r="G16" s="33"/>
      <c r="H16" s="31" t="n">
        <f aca="false">SUM(H4:H15)</f>
        <v>29638173.0648</v>
      </c>
      <c r="I16" s="31" t="n">
        <f aca="false">SUM(I4:I15)</f>
        <v>29691261.35204</v>
      </c>
      <c r="J16" s="31" t="n">
        <f aca="false">SUM(J4:J15)</f>
        <v>53088.2872400004</v>
      </c>
      <c r="K16" s="32" t="n">
        <f aca="false">IFERROR(J16/H16,"")</f>
        <v>0.00179121321425345</v>
      </c>
      <c r="L16" s="33"/>
      <c r="M16" s="31" t="n">
        <f aca="false">SUM(M4:M15)</f>
        <v>6046676.8652</v>
      </c>
      <c r="N16" s="31" t="n">
        <f aca="false">SUM(N4:N15)</f>
        <v>5868997.03796</v>
      </c>
      <c r="O16" s="31" t="n">
        <f aca="false">SUM(O4:O15)</f>
        <v>-177679.827239999</v>
      </c>
      <c r="P16" s="32" t="n">
        <f aca="false">IFERROR(O16/M16,"")</f>
        <v>-0.0293847068730573</v>
      </c>
      <c r="Q16" s="33"/>
    </row>
    <row r="18" customFormat="false" ht="15" hidden="false" customHeight="true" outlineLevel="0" collapsed="false">
      <c r="A18" s="11" t="s">
        <v>122</v>
      </c>
      <c r="B18" s="11"/>
      <c r="C18" s="11"/>
      <c r="D18" s="11"/>
      <c r="E18" s="11"/>
      <c r="F18" s="11"/>
      <c r="G18" s="11"/>
      <c r="H18" s="11"/>
      <c r="I18" s="11"/>
      <c r="J18" s="11"/>
      <c r="K18" s="11"/>
      <c r="L18" s="11"/>
      <c r="M18" s="11"/>
      <c r="N18" s="11"/>
      <c r="O18" s="11"/>
      <c r="P18" s="11"/>
      <c r="Q18" s="11"/>
    </row>
  </sheetData>
  <mergeCells count="3">
    <mergeCell ref="A1:Q1"/>
    <mergeCell ref="A16:B16"/>
    <mergeCell ref="A18:Q18"/>
  </mergeCells>
  <conditionalFormatting sqref="G4:G15">
    <cfRule type="cellIs" priority="2" operator="equal" aboveAverage="0" equalAverage="0" bottom="0" percent="0" rank="0" text="" dxfId="7">
      <formula>"Unfavourable"</formula>
    </cfRule>
    <cfRule type="cellIs" priority="3" operator="equal" aboveAverage="0" equalAverage="0" bottom="0" percent="0" rank="0" text="" dxfId="8">
      <formula>"Favourable"</formula>
    </cfRule>
  </conditionalFormatting>
  <conditionalFormatting sqref="L4:L15">
    <cfRule type="cellIs" priority="4" operator="equal" aboveAverage="0" equalAverage="0" bottom="0" percent="0" rank="0" text="" dxfId="7">
      <formula>"Unfavourable"</formula>
    </cfRule>
    <cfRule type="cellIs" priority="5" operator="equal" aboveAverage="0" equalAverage="0" bottom="0" percent="0" rank="0" text="" dxfId="8">
      <formula>"Favourable"</formula>
    </cfRule>
  </conditionalFormatting>
  <conditionalFormatting sqref="Q4:Q15">
    <cfRule type="cellIs" priority="6" operator="equal" aboveAverage="0" equalAverage="0" bottom="0" percent="0" rank="0" text="" dxfId="7">
      <formula>"Unfavourable"</formula>
    </cfRule>
    <cfRule type="cellIs" priority="7" operator="equal" aboveAverage="0" equalAverage="0" bottom="0" percent="0" rank="0" text="" dxfId="8">
      <formula>"Favourable"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3"/>
    <col collapsed="false" customWidth="true" hidden="false" outlineLevel="0" max="4" min="3" style="1" width="14"/>
    <col collapsed="false" customWidth="true" hidden="false" outlineLevel="0" max="5" min="5" style="1" width="12"/>
    <col collapsed="false" customWidth="true" hidden="false" outlineLevel="0" max="7" min="6" style="1" width="15"/>
    <col collapsed="false" customWidth="true" hidden="false" outlineLevel="0" max="9" min="8" style="1" width="14"/>
    <col collapsed="false" customWidth="true" hidden="false" outlineLevel="0" max="10" min="10" style="1" width="13"/>
    <col collapsed="false" customWidth="true" hidden="false" outlineLevel="0" max="11" min="11" style="1" width="12"/>
    <col collapsed="false" customWidth="true" hidden="false" outlineLevel="0" max="13" min="12" style="1" width="14"/>
    <col collapsed="false" customWidth="true" hidden="false" outlineLevel="0" max="14" min="14" style="1" width="13"/>
    <col collapsed="false" customWidth="true" hidden="false" outlineLevel="0" max="15" min="15" style="1" width="12"/>
    <col collapsed="false" customWidth="true" hidden="false" outlineLevel="0" max="16" min="16" style="1" width="14"/>
    <col collapsed="false" customWidth="true" hidden="false" outlineLevel="0" max="17" min="17" style="1" width="18"/>
  </cols>
  <sheetData>
    <row r="1" customFormat="false" ht="21.75" hidden="false" customHeight="true" outlineLevel="0" collapsed="false">
      <c r="A1" s="2" t="s">
        <v>123</v>
      </c>
      <c r="B1" s="2"/>
      <c r="C1" s="2"/>
      <c r="D1" s="2"/>
      <c r="E1" s="2"/>
      <c r="F1" s="2"/>
      <c r="G1" s="2"/>
      <c r="H1" s="2"/>
      <c r="I1" s="2"/>
      <c r="J1" s="2"/>
      <c r="K1" s="2"/>
      <c r="L1" s="2"/>
      <c r="M1" s="2"/>
      <c r="N1" s="2"/>
      <c r="O1" s="2"/>
      <c r="P1" s="2"/>
      <c r="Q1" s="2"/>
    </row>
    <row r="3" customFormat="false" ht="27.75" hidden="false" customHeight="true" outlineLevel="0" collapsed="false">
      <c r="A3" s="7" t="s">
        <v>14</v>
      </c>
      <c r="B3" s="7" t="s">
        <v>124</v>
      </c>
      <c r="C3" s="7" t="s">
        <v>125</v>
      </c>
      <c r="D3" s="7" t="s">
        <v>108</v>
      </c>
      <c r="E3" s="7" t="s">
        <v>109</v>
      </c>
      <c r="F3" s="7" t="s">
        <v>126</v>
      </c>
      <c r="G3" s="7" t="s">
        <v>127</v>
      </c>
      <c r="H3" s="7" t="s">
        <v>128</v>
      </c>
      <c r="I3" s="7" t="s">
        <v>129</v>
      </c>
      <c r="J3" s="7" t="s">
        <v>113</v>
      </c>
      <c r="K3" s="7" t="s">
        <v>114</v>
      </c>
      <c r="L3" s="7" t="s">
        <v>130</v>
      </c>
      <c r="M3" s="7" t="s">
        <v>131</v>
      </c>
      <c r="N3" s="7" t="s">
        <v>118</v>
      </c>
      <c r="O3" s="7" t="s">
        <v>119</v>
      </c>
      <c r="P3" s="7" t="s">
        <v>84</v>
      </c>
      <c r="Q3" s="7" t="s">
        <v>132</v>
      </c>
    </row>
    <row r="4" customFormat="false" ht="15" hidden="false" customHeight="true" outlineLevel="0" collapsed="false">
      <c r="A4" s="12" t="s">
        <v>47</v>
      </c>
      <c r="B4" s="29" t="n">
        <f aca="false">'Budget vs Actual'!C4</f>
        <v>2861000</v>
      </c>
      <c r="C4" s="29" t="n">
        <f aca="false">'Budget vs Actual'!D4</f>
        <v>2874061.94</v>
      </c>
      <c r="D4" s="15" t="n">
        <f aca="false">C4-B4</f>
        <v>13061.9399999999</v>
      </c>
      <c r="E4" s="17" t="n">
        <f aca="false">IFERROR(D4/B4,"")</f>
        <v>0.00456551555400208</v>
      </c>
      <c r="F4" s="29" t="n">
        <f aca="false">SUMPRODUCT(('Revenue Planning'!$A$4:$A$51=A4)*('Revenue Planning'!$G$4:$G$51-'Revenue Planning'!$D$4:$D$51)*'Revenue Planning'!$E$4:$E$51)</f>
        <v>15083</v>
      </c>
      <c r="G4" s="29" t="n">
        <f aca="false">SUMPRODUCT(('Revenue Planning'!$A$4:$A$51=A4)*('Revenue Planning'!$H$4:$H$51-'Revenue Planning'!$E$4:$E$51)*'Revenue Planning'!$G$4:$G$51)</f>
        <v>-2021.06000000003</v>
      </c>
      <c r="H4" s="29" t="n">
        <f aca="false">'Budget vs Actual'!H4</f>
        <v>2371400</v>
      </c>
      <c r="I4" s="29" t="n">
        <f aca="false">'Budget vs Actual'!I4</f>
        <v>2371148.492708</v>
      </c>
      <c r="J4" s="15" t="n">
        <f aca="false">I4-H4</f>
        <v>-251.507292000111</v>
      </c>
      <c r="K4" s="17" t="n">
        <f aca="false">IFERROR(J4/H4,"")</f>
        <v>-0.000106058569621368</v>
      </c>
      <c r="L4" s="29" t="n">
        <f aca="false">'Budget vs Actual'!M4</f>
        <v>489600</v>
      </c>
      <c r="M4" s="29" t="n">
        <f aca="false">'Budget vs Actual'!N4</f>
        <v>502913.447292</v>
      </c>
      <c r="N4" s="15" t="n">
        <f aca="false">M4-L4</f>
        <v>13313.4472920001</v>
      </c>
      <c r="O4" s="17" t="n">
        <f aca="false">IFERROR(N4/L4,"")</f>
        <v>0.0271924985539217</v>
      </c>
      <c r="P4" s="26" t="str">
        <f aca="false">IF(N4&gt;=0,"Favourable","Unfavourable")</f>
        <v>Favourable</v>
      </c>
      <c r="Q4" s="26" t="str">
        <f aca="false">IF(AND(ABS(F4)&gt;=ABS(G4),ABS(F4)&gt;=ABS(J4)),"Sales Volume",IF(AND(ABS(G4)&gt;ABS(F4),ABS(G4)&gt;=ABS(J4)),"Selling Price","Operating Cost"))</f>
        <v>Sales Volume</v>
      </c>
    </row>
    <row r="5" customFormat="false" ht="15" hidden="false" customHeight="true" outlineLevel="0" collapsed="false">
      <c r="A5" s="12" t="s">
        <v>53</v>
      </c>
      <c r="B5" s="29" t="n">
        <f aca="false">'Budget vs Actual'!C5</f>
        <v>2978440.7</v>
      </c>
      <c r="C5" s="29" t="n">
        <f aca="false">'Budget vs Actual'!D5</f>
        <v>2956844.19</v>
      </c>
      <c r="D5" s="15" t="n">
        <f aca="false">C5-B5</f>
        <v>-21596.5100000002</v>
      </c>
      <c r="E5" s="17" t="n">
        <f aca="false">IFERROR(D5/B5,"")</f>
        <v>-0.00725094510023323</v>
      </c>
      <c r="F5" s="29" t="n">
        <f aca="false">SUMPRODUCT(('Revenue Planning'!$A$4:$A$51=A5)*('Revenue Planning'!$G$4:$G$51-'Revenue Planning'!$D$4:$D$51)*'Revenue Planning'!$E$4:$E$51)</f>
        <v>-26115.69</v>
      </c>
      <c r="G5" s="29" t="n">
        <f aca="false">SUMPRODUCT(('Revenue Planning'!$A$4:$A$51=A5)*('Revenue Planning'!$H$4:$H$51-'Revenue Planning'!$E$4:$E$51)*'Revenue Planning'!$G$4:$G$51)</f>
        <v>4519.17999999999</v>
      </c>
      <c r="H5" s="29" t="n">
        <f aca="false">'Budget vs Actual'!H5</f>
        <v>2446171.8996</v>
      </c>
      <c r="I5" s="29" t="n">
        <f aca="false">'Budget vs Actual'!I5</f>
        <v>2437711.095905</v>
      </c>
      <c r="J5" s="15" t="n">
        <f aca="false">I5-H5</f>
        <v>-8460.80369500024</v>
      </c>
      <c r="K5" s="17" t="n">
        <f aca="false">IFERROR(J5/H5,"")</f>
        <v>-0.00345879359352618</v>
      </c>
      <c r="L5" s="29" t="n">
        <f aca="false">'Budget vs Actual'!M5</f>
        <v>532268.8004</v>
      </c>
      <c r="M5" s="29" t="n">
        <f aca="false">'Budget vs Actual'!N5</f>
        <v>519133.094095</v>
      </c>
      <c r="N5" s="15" t="n">
        <f aca="false">M5-L5</f>
        <v>-13135.706305</v>
      </c>
      <c r="O5" s="17" t="n">
        <f aca="false">IFERROR(N5/L5,"")</f>
        <v>-0.024678708004543</v>
      </c>
      <c r="P5" s="26" t="str">
        <f aca="false">IF(N5&gt;=0,"Favourable","Unfavourable")</f>
        <v>Unfavourable</v>
      </c>
      <c r="Q5" s="26" t="str">
        <f aca="false">IF(AND(ABS(F5)&gt;=ABS(G5),ABS(F5)&gt;=ABS(J5)),"Sales Volume",IF(AND(ABS(G5)&gt;ABS(F5),ABS(G5)&gt;=ABS(J5)),"Selling Price","Operating Cost"))</f>
        <v>Sales Volume</v>
      </c>
    </row>
    <row r="6" customFormat="false" ht="15" hidden="false" customHeight="true" outlineLevel="0" collapsed="false">
      <c r="A6" s="12" t="s">
        <v>54</v>
      </c>
      <c r="B6" s="29" t="n">
        <f aca="false">'Budget vs Actual'!C6</f>
        <v>2943903.76</v>
      </c>
      <c r="C6" s="29" t="n">
        <f aca="false">'Budget vs Actual'!D6</f>
        <v>2920238.24</v>
      </c>
      <c r="D6" s="15" t="n">
        <f aca="false">C6-B6</f>
        <v>-23665.5199999996</v>
      </c>
      <c r="E6" s="17" t="n">
        <f aca="false">IFERROR(D6/B6,"")</f>
        <v>-0.00803882257346604</v>
      </c>
      <c r="F6" s="29" t="n">
        <f aca="false">SUMPRODUCT(('Revenue Planning'!$A$4:$A$51=A6)*('Revenue Planning'!$G$4:$G$51-'Revenue Planning'!$D$4:$D$51)*'Revenue Planning'!$E$4:$E$51)</f>
        <v>-15001.52</v>
      </c>
      <c r="G6" s="29" t="n">
        <f aca="false">SUMPRODUCT(('Revenue Planning'!$A$4:$A$51=A6)*('Revenue Planning'!$H$4:$H$51-'Revenue Planning'!$E$4:$E$51)*'Revenue Planning'!$G$4:$G$51)</f>
        <v>-8663.99999999986</v>
      </c>
      <c r="H6" s="29" t="n">
        <f aca="false">'Budget vs Actual'!H6</f>
        <v>2429053.5582</v>
      </c>
      <c r="I6" s="29" t="n">
        <f aca="false">'Budget vs Actual'!I6</f>
        <v>2447488.962186</v>
      </c>
      <c r="J6" s="15" t="n">
        <f aca="false">I6-H6</f>
        <v>18435.4039860005</v>
      </c>
      <c r="K6" s="17" t="n">
        <f aca="false">IFERROR(J6/H6,"")</f>
        <v>0.00758954199415085</v>
      </c>
      <c r="L6" s="29" t="n">
        <f aca="false">'Budget vs Actual'!M6</f>
        <v>514850.2018</v>
      </c>
      <c r="M6" s="29" t="n">
        <f aca="false">'Budget vs Actual'!N6</f>
        <v>472749.277814</v>
      </c>
      <c r="N6" s="15" t="n">
        <f aca="false">M6-L6</f>
        <v>-42100.923986</v>
      </c>
      <c r="O6" s="17" t="n">
        <f aca="false">IFERROR(N6/L6,"")</f>
        <v>-0.0817731523437465</v>
      </c>
      <c r="P6" s="26" t="str">
        <f aca="false">IF(N6&gt;=0,"Favourable","Unfavourable")</f>
        <v>Unfavourable</v>
      </c>
      <c r="Q6" s="26" t="str">
        <f aca="false">IF(AND(ABS(F6)&gt;=ABS(G6),ABS(F6)&gt;=ABS(J6)),"Sales Volume",IF(AND(ABS(G6)&gt;ABS(F6),ABS(G6)&gt;=ABS(J6)),"Selling Price","Operating Cost"))</f>
        <v>Operating Cost</v>
      </c>
    </row>
    <row r="7" customFormat="false" ht="15" hidden="false" customHeight="true" outlineLevel="0" collapsed="false">
      <c r="A7" s="12" t="s">
        <v>55</v>
      </c>
      <c r="B7" s="29" t="n">
        <f aca="false">'Budget vs Actual'!C7</f>
        <v>2742366.99</v>
      </c>
      <c r="C7" s="29" t="n">
        <f aca="false">'Budget vs Actual'!D7</f>
        <v>2661268.87</v>
      </c>
      <c r="D7" s="15" t="n">
        <f aca="false">C7-B7</f>
        <v>-81098.1199999997</v>
      </c>
      <c r="E7" s="17" t="n">
        <f aca="false">IFERROR(D7/B7,"")</f>
        <v>-0.0295723075342296</v>
      </c>
      <c r="F7" s="29" t="n">
        <f aca="false">SUMPRODUCT(('Revenue Planning'!$A$4:$A$51=A7)*('Revenue Planning'!$G$4:$G$51-'Revenue Planning'!$D$4:$D$51)*'Revenue Planning'!$E$4:$E$51)</f>
        <v>-78559.74</v>
      </c>
      <c r="G7" s="29" t="n">
        <f aca="false">SUMPRODUCT(('Revenue Planning'!$A$4:$A$51=A7)*('Revenue Planning'!$H$4:$H$51-'Revenue Planning'!$E$4:$E$51)*'Revenue Planning'!$G$4:$G$51)</f>
        <v>-2538.38000000009</v>
      </c>
      <c r="H7" s="29" t="n">
        <f aca="false">'Budget vs Actual'!H7</f>
        <v>2312882.558</v>
      </c>
      <c r="I7" s="29" t="n">
        <f aca="false">'Budget vs Actual'!I7</f>
        <v>2300692.024766</v>
      </c>
      <c r="J7" s="15" t="n">
        <f aca="false">I7-H7</f>
        <v>-12190.5332340002</v>
      </c>
      <c r="K7" s="17" t="n">
        <f aca="false">IFERROR(J7/H7,"")</f>
        <v>-0.00527071000290721</v>
      </c>
      <c r="L7" s="29" t="n">
        <f aca="false">'Budget vs Actual'!M7</f>
        <v>429484.432</v>
      </c>
      <c r="M7" s="29" t="n">
        <f aca="false">'Budget vs Actual'!N7</f>
        <v>360576.845234</v>
      </c>
      <c r="N7" s="15" t="n">
        <f aca="false">M7-L7</f>
        <v>-68907.5867659994</v>
      </c>
      <c r="O7" s="17" t="n">
        <f aca="false">IFERROR(N7/L7,"")</f>
        <v>-0.160442571678592</v>
      </c>
      <c r="P7" s="26" t="str">
        <f aca="false">IF(N7&gt;=0,"Favourable","Unfavourable")</f>
        <v>Unfavourable</v>
      </c>
      <c r="Q7" s="26" t="str">
        <f aca="false">IF(AND(ABS(F7)&gt;=ABS(G7),ABS(F7)&gt;=ABS(J7)),"Sales Volume",IF(AND(ABS(G7)&gt;ABS(F7),ABS(G7)&gt;=ABS(J7)),"Selling Price","Operating Cost"))</f>
        <v>Sales Volume</v>
      </c>
    </row>
    <row r="8" customFormat="false" ht="15" hidden="false" customHeight="true" outlineLevel="0" collapsed="false">
      <c r="A8" s="12" t="s">
        <v>57</v>
      </c>
      <c r="B8" s="29" t="n">
        <f aca="false">'Budget vs Actual'!C8</f>
        <v>2743148.7</v>
      </c>
      <c r="C8" s="29" t="n">
        <f aca="false">'Budget vs Actual'!D8</f>
        <v>2611563.16</v>
      </c>
      <c r="D8" s="15" t="n">
        <f aca="false">C8-B8</f>
        <v>-131585.54</v>
      </c>
      <c r="E8" s="17" t="n">
        <f aca="false">IFERROR(D8/B8,"")</f>
        <v>-0.0479687958585692</v>
      </c>
      <c r="F8" s="29" t="n">
        <f aca="false">SUMPRODUCT(('Revenue Planning'!$A$4:$A$51=A8)*('Revenue Planning'!$G$4:$G$51-'Revenue Planning'!$D$4:$D$51)*'Revenue Planning'!$E$4:$E$51)</f>
        <v>-116531.22</v>
      </c>
      <c r="G8" s="29" t="n">
        <f aca="false">SUMPRODUCT(('Revenue Planning'!$A$4:$A$51=A8)*('Revenue Planning'!$H$4:$H$51-'Revenue Planning'!$E$4:$E$51)*'Revenue Planning'!$G$4:$G$51)</f>
        <v>-15054.3199999999</v>
      </c>
      <c r="H8" s="29" t="n">
        <f aca="false">'Budget vs Actual'!H8</f>
        <v>2317691.3656</v>
      </c>
      <c r="I8" s="29" t="n">
        <f aca="false">'Budget vs Actual'!I8</f>
        <v>2282909.76752</v>
      </c>
      <c r="J8" s="15" t="n">
        <f aca="false">I8-H8</f>
        <v>-34781.5980799999</v>
      </c>
      <c r="K8" s="17" t="n">
        <f aca="false">IFERROR(J8/H8,"")</f>
        <v>-0.0150070016207683</v>
      </c>
      <c r="L8" s="29" t="n">
        <f aca="false">'Budget vs Actual'!M8</f>
        <v>425457.3344</v>
      </c>
      <c r="M8" s="29" t="n">
        <f aca="false">'Budget vs Actual'!N8</f>
        <v>328653.39248</v>
      </c>
      <c r="N8" s="15" t="n">
        <f aca="false">M8-L8</f>
        <v>-96803.9419199997</v>
      </c>
      <c r="O8" s="17" t="n">
        <f aca="false">IFERROR(N8/L8,"")</f>
        <v>-0.22752914121581</v>
      </c>
      <c r="P8" s="26" t="str">
        <f aca="false">IF(N8&gt;=0,"Favourable","Unfavourable")</f>
        <v>Unfavourable</v>
      </c>
      <c r="Q8" s="26" t="str">
        <f aca="false">IF(AND(ABS(F8)&gt;=ABS(G8),ABS(F8)&gt;=ABS(J8)),"Sales Volume",IF(AND(ABS(G8)&gt;ABS(F8),ABS(G8)&gt;=ABS(J8)),"Selling Price","Operating Cost"))</f>
        <v>Sales Volume</v>
      </c>
    </row>
    <row r="9" customFormat="false" ht="15" hidden="false" customHeight="true" outlineLevel="0" collapsed="false">
      <c r="A9" s="12" t="s">
        <v>58</v>
      </c>
      <c r="B9" s="29" t="n">
        <f aca="false">'Budget vs Actual'!C9</f>
        <v>2843333.82</v>
      </c>
      <c r="C9" s="29" t="n">
        <f aca="false">'Budget vs Actual'!D9</f>
        <v>2826123.68</v>
      </c>
      <c r="D9" s="15" t="n">
        <f aca="false">C9-B9</f>
        <v>-17210.1399999997</v>
      </c>
      <c r="E9" s="17" t="n">
        <f aca="false">IFERROR(D9/B9,"")</f>
        <v>-0.00605280318439699</v>
      </c>
      <c r="F9" s="29" t="n">
        <f aca="false">SUMPRODUCT(('Revenue Planning'!$A$4:$A$51=A9)*('Revenue Planning'!$G$4:$G$51-'Revenue Planning'!$D$4:$D$51)*'Revenue Planning'!$E$4:$E$51)</f>
        <v>-12101.82</v>
      </c>
      <c r="G9" s="29" t="n">
        <f aca="false">SUMPRODUCT(('Revenue Planning'!$A$4:$A$51=A9)*('Revenue Planning'!$H$4:$H$51-'Revenue Planning'!$E$4:$E$51)*'Revenue Planning'!$G$4:$G$51)</f>
        <v>-5108.31999999997</v>
      </c>
      <c r="H9" s="29" t="n">
        <f aca="false">'Budget vs Actual'!H9</f>
        <v>2383317.2448</v>
      </c>
      <c r="I9" s="29" t="n">
        <f aca="false">'Budget vs Actual'!I9</f>
        <v>2364068.271716</v>
      </c>
      <c r="J9" s="15" t="n">
        <f aca="false">I9-H9</f>
        <v>-19248.9730839999</v>
      </c>
      <c r="K9" s="17" t="n">
        <f aca="false">IFERROR(J9/H9,"")</f>
        <v>-0.008076546723269</v>
      </c>
      <c r="L9" s="29" t="n">
        <f aca="false">'Budget vs Actual'!M9</f>
        <v>460016.5752</v>
      </c>
      <c r="M9" s="29" t="n">
        <f aca="false">'Budget vs Actual'!N9</f>
        <v>462055.408284</v>
      </c>
      <c r="N9" s="15" t="n">
        <f aca="false">M9-L9</f>
        <v>2038.83308400027</v>
      </c>
      <c r="O9" s="17" t="n">
        <f aca="false">IFERROR(N9/L9,"")</f>
        <v>0.00443208613323087</v>
      </c>
      <c r="P9" s="26" t="str">
        <f aca="false">IF(N9&gt;=0,"Favourable","Unfavourable")</f>
        <v>Favourable</v>
      </c>
      <c r="Q9" s="26" t="str">
        <f aca="false">IF(AND(ABS(F9)&gt;=ABS(G9),ABS(F9)&gt;=ABS(J9)),"Sales Volume",IF(AND(ABS(G9)&gt;ABS(F9),ABS(G9)&gt;=ABS(J9)),"Selling Price","Operating Cost"))</f>
        <v>Operating Cost</v>
      </c>
    </row>
    <row r="10" customFormat="false" ht="15" hidden="false" customHeight="true" outlineLevel="0" collapsed="false">
      <c r="A10" s="12" t="s">
        <v>59</v>
      </c>
      <c r="B10" s="29" t="n">
        <f aca="false">'Budget vs Actual'!C10</f>
        <v>3308101.5</v>
      </c>
      <c r="C10" s="29" t="n">
        <f aca="false">'Budget vs Actual'!D10</f>
        <v>3579618.24</v>
      </c>
      <c r="D10" s="15" t="n">
        <f aca="false">C10-B10</f>
        <v>271516.74</v>
      </c>
      <c r="E10" s="17" t="n">
        <f aca="false">IFERROR(D10/B10,"")</f>
        <v>0.0820763026769282</v>
      </c>
      <c r="F10" s="29" t="n">
        <f aca="false">SUMPRODUCT(('Revenue Planning'!$A$4:$A$51=A10)*('Revenue Planning'!$G$4:$G$51-'Revenue Planning'!$D$4:$D$51)*'Revenue Planning'!$E$4:$E$51)</f>
        <v>236075.88</v>
      </c>
      <c r="G10" s="29" t="n">
        <f aca="false">SUMPRODUCT(('Revenue Planning'!$A$4:$A$51=A10)*('Revenue Planning'!$H$4:$H$51-'Revenue Planning'!$E$4:$E$51)*'Revenue Planning'!$G$4:$G$51)</f>
        <v>35440.8600000001</v>
      </c>
      <c r="H10" s="29" t="n">
        <f aca="false">'Budget vs Actual'!H10</f>
        <v>2705340.548</v>
      </c>
      <c r="I10" s="29" t="n">
        <f aca="false">'Budget vs Actual'!I10</f>
        <v>2869470.359468</v>
      </c>
      <c r="J10" s="15" t="n">
        <f aca="false">I10-H10</f>
        <v>164129.811468</v>
      </c>
      <c r="K10" s="17" t="n">
        <f aca="false">IFERROR(J10/H10,"")</f>
        <v>0.0606688173100195</v>
      </c>
      <c r="L10" s="29" t="n">
        <f aca="false">'Budget vs Actual'!M10</f>
        <v>602760.952</v>
      </c>
      <c r="M10" s="29" t="n">
        <f aca="false">'Budget vs Actual'!N10</f>
        <v>710147.880532</v>
      </c>
      <c r="N10" s="15" t="n">
        <f aca="false">M10-L10</f>
        <v>107386.928532</v>
      </c>
      <c r="O10" s="17" t="n">
        <f aca="false">IFERROR(N10/L10,"")</f>
        <v>0.178158402888713</v>
      </c>
      <c r="P10" s="26" t="str">
        <f aca="false">IF(N10&gt;=0,"Favourable","Unfavourable")</f>
        <v>Favourable</v>
      </c>
      <c r="Q10" s="26" t="str">
        <f aca="false">IF(AND(ABS(F10)&gt;=ABS(G10),ABS(F10)&gt;=ABS(J10)),"Sales Volume",IF(AND(ABS(G10)&gt;ABS(F10),ABS(G10)&gt;=ABS(J10)),"Selling Price","Operating Cost"))</f>
        <v>Sales Volume</v>
      </c>
    </row>
    <row r="11" customFormat="false" ht="15" hidden="false" customHeight="true" outlineLevel="0" collapsed="false">
      <c r="A11" s="12" t="s">
        <v>61</v>
      </c>
      <c r="B11" s="29" t="n">
        <f aca="false">'Budget vs Actual'!C11</f>
        <v>3456789.67</v>
      </c>
      <c r="C11" s="29" t="n">
        <f aca="false">'Budget vs Actual'!D11</f>
        <v>3669694.39</v>
      </c>
      <c r="D11" s="15" t="n">
        <f aca="false">C11-B11</f>
        <v>212904.72</v>
      </c>
      <c r="E11" s="17" t="n">
        <f aca="false">IFERROR(D11/B11,"")</f>
        <v>0.0615903020793279</v>
      </c>
      <c r="F11" s="29" t="n">
        <f aca="false">SUMPRODUCT(('Revenue Planning'!$A$4:$A$51=A11)*('Revenue Planning'!$G$4:$G$51-'Revenue Planning'!$D$4:$D$51)*'Revenue Planning'!$E$4:$E$51)</f>
        <v>176465.51</v>
      </c>
      <c r="G11" s="29" t="n">
        <f aca="false">SUMPRODUCT(('Revenue Planning'!$A$4:$A$51=A11)*('Revenue Planning'!$H$4:$H$51-'Revenue Planning'!$E$4:$E$51)*'Revenue Planning'!$G$4:$G$51)</f>
        <v>36439.21</v>
      </c>
      <c r="H11" s="29" t="n">
        <f aca="false">'Budget vs Actual'!H11</f>
        <v>2804484.3362</v>
      </c>
      <c r="I11" s="29" t="n">
        <f aca="false">'Budget vs Actual'!I11</f>
        <v>2932696.963887</v>
      </c>
      <c r="J11" s="15" t="n">
        <f aca="false">I11-H11</f>
        <v>128212.627687</v>
      </c>
      <c r="K11" s="17" t="n">
        <f aca="false">IFERROR(J11/H11,"")</f>
        <v>0.04571700616475</v>
      </c>
      <c r="L11" s="29" t="n">
        <f aca="false">'Budget vs Actual'!M11</f>
        <v>652305.3338</v>
      </c>
      <c r="M11" s="29" t="n">
        <f aca="false">'Budget vs Actual'!N11</f>
        <v>736997.426113</v>
      </c>
      <c r="N11" s="15" t="n">
        <f aca="false">M11-L11</f>
        <v>84692.092313</v>
      </c>
      <c r="O11" s="17" t="n">
        <f aca="false">IFERROR(N11/L11,"")</f>
        <v>0.1298350449162</v>
      </c>
      <c r="P11" s="26" t="str">
        <f aca="false">IF(N11&gt;=0,"Favourable","Unfavourable")</f>
        <v>Favourable</v>
      </c>
      <c r="Q11" s="26" t="str">
        <f aca="false">IF(AND(ABS(F11)&gt;=ABS(G11),ABS(F11)&gt;=ABS(J11)),"Sales Volume",IF(AND(ABS(G11)&gt;ABS(F11),ABS(G11)&gt;=ABS(J11)),"Selling Price","Operating Cost"))</f>
        <v>Sales Volume</v>
      </c>
    </row>
    <row r="12" customFormat="false" ht="15" hidden="false" customHeight="true" outlineLevel="0" collapsed="false">
      <c r="A12" s="12" t="s">
        <v>62</v>
      </c>
      <c r="B12" s="29" t="n">
        <f aca="false">'Budget vs Actual'!C12</f>
        <v>3144592.85</v>
      </c>
      <c r="C12" s="29" t="n">
        <f aca="false">'Budget vs Actual'!D12</f>
        <v>3131490.95</v>
      </c>
      <c r="D12" s="15" t="n">
        <f aca="false">C12-B12</f>
        <v>-13101.8999999999</v>
      </c>
      <c r="E12" s="17" t="n">
        <f aca="false">IFERROR(D12/B12,"")</f>
        <v>-0.00416648533688548</v>
      </c>
      <c r="F12" s="29" t="n">
        <f aca="false">SUMPRODUCT(('Revenue Planning'!$A$4:$A$51=A12)*('Revenue Planning'!$G$4:$G$51-'Revenue Planning'!$D$4:$D$51)*'Revenue Planning'!$E$4:$E$51)</f>
        <v>-9911.19</v>
      </c>
      <c r="G12" s="29" t="n">
        <f aca="false">SUMPRODUCT(('Revenue Planning'!$A$4:$A$51=A12)*('Revenue Planning'!$H$4:$H$51-'Revenue Planning'!$E$4:$E$51)*'Revenue Planning'!$G$4:$G$51)</f>
        <v>-3190.70999999989</v>
      </c>
      <c r="H12" s="29" t="n">
        <f aca="false">'Budget vs Actual'!H12</f>
        <v>2581234.7936</v>
      </c>
      <c r="I12" s="29" t="n">
        <f aca="false">'Budget vs Actual'!I12</f>
        <v>2563749.979818</v>
      </c>
      <c r="J12" s="15" t="n">
        <f aca="false">I12-H12</f>
        <v>-17484.813782</v>
      </c>
      <c r="K12" s="17" t="n">
        <f aca="false">IFERROR(J12/H12,"")</f>
        <v>-0.00677381764160022</v>
      </c>
      <c r="L12" s="29" t="n">
        <f aca="false">'Budget vs Actual'!M12</f>
        <v>563358.0564</v>
      </c>
      <c r="M12" s="29" t="n">
        <f aca="false">'Budget vs Actual'!N12</f>
        <v>567740.970182</v>
      </c>
      <c r="N12" s="15" t="n">
        <f aca="false">M12-L12</f>
        <v>4382.91378200008</v>
      </c>
      <c r="O12" s="17" t="n">
        <f aca="false">IFERROR(N12/L12,"")</f>
        <v>0.00777997888236125</v>
      </c>
      <c r="P12" s="26" t="str">
        <f aca="false">IF(N12&gt;=0,"Favourable","Unfavourable")</f>
        <v>Favourable</v>
      </c>
      <c r="Q12" s="26" t="str">
        <f aca="false">IF(AND(ABS(F12)&gt;=ABS(G12),ABS(F12)&gt;=ABS(J12)),"Sales Volume",IF(AND(ABS(G12)&gt;ABS(F12),ABS(G12)&gt;=ABS(J12)),"Selling Price","Operating Cost"))</f>
        <v>Operating Cost</v>
      </c>
    </row>
    <row r="13" customFormat="false" ht="15" hidden="false" customHeight="true" outlineLevel="0" collapsed="false">
      <c r="A13" s="12" t="s">
        <v>63</v>
      </c>
      <c r="B13" s="29" t="n">
        <f aca="false">'Budget vs Actual'!C13</f>
        <v>2770198.68</v>
      </c>
      <c r="C13" s="29" t="n">
        <f aca="false">'Budget vs Actual'!D13</f>
        <v>2469819.37</v>
      </c>
      <c r="D13" s="15" t="n">
        <f aca="false">C13-B13</f>
        <v>-300379.31</v>
      </c>
      <c r="E13" s="17" t="n">
        <f aca="false">IFERROR(D13/B13,"")</f>
        <v>-0.108432406732646</v>
      </c>
      <c r="F13" s="29" t="n">
        <f aca="false">SUMPRODUCT(('Revenue Planning'!$A$4:$A$51=A13)*('Revenue Planning'!$G$4:$G$51-'Revenue Planning'!$D$4:$D$51)*'Revenue Planning'!$E$4:$E$51)</f>
        <v>-288040.51</v>
      </c>
      <c r="G13" s="29" t="n">
        <f aca="false">SUMPRODUCT(('Revenue Planning'!$A$4:$A$51=A13)*('Revenue Planning'!$H$4:$H$51-'Revenue Planning'!$E$4:$E$51)*'Revenue Planning'!$G$4:$G$51)</f>
        <v>-12338.8000000001</v>
      </c>
      <c r="H13" s="29" t="n">
        <f aca="false">'Budget vs Actual'!H13</f>
        <v>2354496.4276</v>
      </c>
      <c r="I13" s="29" t="n">
        <f aca="false">'Budget vs Actual'!I13</f>
        <v>2206679.637388</v>
      </c>
      <c r="J13" s="15" t="n">
        <f aca="false">I13-H13</f>
        <v>-147816.790212</v>
      </c>
      <c r="K13" s="17" t="n">
        <f aca="false">IFERROR(J13/H13,"")</f>
        <v>-0.0627806389847333</v>
      </c>
      <c r="L13" s="29" t="n">
        <f aca="false">'Budget vs Actual'!M13</f>
        <v>415702.2524</v>
      </c>
      <c r="M13" s="29" t="n">
        <f aca="false">'Budget vs Actual'!N13</f>
        <v>263139.732612</v>
      </c>
      <c r="N13" s="15" t="n">
        <f aca="false">M13-L13</f>
        <v>-152562.519788</v>
      </c>
      <c r="O13" s="17" t="n">
        <f aca="false">IFERROR(N13/L13,"")</f>
        <v>-0.366999502425598</v>
      </c>
      <c r="P13" s="26" t="str">
        <f aca="false">IF(N13&gt;=0,"Favourable","Unfavourable")</f>
        <v>Unfavourable</v>
      </c>
      <c r="Q13" s="26" t="str">
        <f aca="false">IF(AND(ABS(F13)&gt;=ABS(G13),ABS(F13)&gt;=ABS(J13)),"Sales Volume",IF(AND(ABS(G13)&gt;ABS(F13),ABS(G13)&gt;=ABS(J13)),"Selling Price","Operating Cost"))</f>
        <v>Sales Volume</v>
      </c>
    </row>
    <row r="14" customFormat="false" ht="15" hidden="false" customHeight="true" outlineLevel="0" collapsed="false">
      <c r="A14" s="12" t="s">
        <v>65</v>
      </c>
      <c r="B14" s="29" t="n">
        <f aca="false">'Budget vs Actual'!C14</f>
        <v>2836900.5</v>
      </c>
      <c r="C14" s="29" t="n">
        <f aca="false">'Budget vs Actual'!D14</f>
        <v>2830605.62</v>
      </c>
      <c r="D14" s="15" t="n">
        <f aca="false">C14-B14</f>
        <v>-6294.87999999989</v>
      </c>
      <c r="E14" s="17" t="n">
        <f aca="false">IFERROR(D14/B14,"")</f>
        <v>-0.00221892872168054</v>
      </c>
      <c r="F14" s="29" t="n">
        <f aca="false">SUMPRODUCT(('Revenue Planning'!$A$4:$A$51=A14)*('Revenue Planning'!$G$4:$G$51-'Revenue Planning'!$D$4:$D$51)*'Revenue Planning'!$E$4:$E$51)</f>
        <v>3573.06</v>
      </c>
      <c r="G14" s="29" t="n">
        <f aca="false">SUMPRODUCT(('Revenue Planning'!$A$4:$A$51=A14)*('Revenue Planning'!$H$4:$H$51-'Revenue Planning'!$E$4:$E$51)*'Revenue Planning'!$G$4:$G$51)</f>
        <v>-9867.93999999996</v>
      </c>
      <c r="H14" s="29" t="n">
        <f aca="false">'Budget vs Actual'!H14</f>
        <v>2397655.272</v>
      </c>
      <c r="I14" s="29" t="n">
        <f aca="false">'Budget vs Actual'!I14</f>
        <v>2390328.811954</v>
      </c>
      <c r="J14" s="15" t="n">
        <f aca="false">I14-H14</f>
        <v>-7326.46004599985</v>
      </c>
      <c r="K14" s="17" t="n">
        <f aca="false">IFERROR(J14/H14,"")</f>
        <v>-0.00305567699058276</v>
      </c>
      <c r="L14" s="29" t="n">
        <f aca="false">'Budget vs Actual'!M14</f>
        <v>439245.228</v>
      </c>
      <c r="M14" s="29" t="n">
        <f aca="false">'Budget vs Actual'!N14</f>
        <v>440276.808046</v>
      </c>
      <c r="N14" s="15" t="n">
        <f aca="false">M14-L14</f>
        <v>1031.58004599996</v>
      </c>
      <c r="O14" s="17" t="n">
        <f aca="false">IFERROR(N14/L14,"")</f>
        <v>0.00234852874941184</v>
      </c>
      <c r="P14" s="26" t="str">
        <f aca="false">IF(N14&gt;=0,"Favourable","Unfavourable")</f>
        <v>Favourable</v>
      </c>
      <c r="Q14" s="26" t="str">
        <f aca="false">IF(AND(ABS(F14)&gt;=ABS(G14),ABS(F14)&gt;=ABS(J14)),"Sales Volume",IF(AND(ABS(G14)&gt;ABS(F14),ABS(G14)&gt;=ABS(J14)),"Selling Price","Operating Cost"))</f>
        <v>Selling Price</v>
      </c>
    </row>
    <row r="15" customFormat="false" ht="15" hidden="false" customHeight="true" outlineLevel="0" collapsed="false">
      <c r="A15" s="12" t="s">
        <v>66</v>
      </c>
      <c r="B15" s="29" t="n">
        <f aca="false">'Budget vs Actual'!C15</f>
        <v>3056072.76</v>
      </c>
      <c r="C15" s="29" t="n">
        <f aca="false">'Budget vs Actual'!D15</f>
        <v>3028929.74</v>
      </c>
      <c r="D15" s="15" t="n">
        <f aca="false">C15-B15</f>
        <v>-27143.0200000005</v>
      </c>
      <c r="E15" s="17" t="n">
        <f aca="false">IFERROR(D15/B15,"")</f>
        <v>-0.00888166680952992</v>
      </c>
      <c r="F15" s="29" t="n">
        <f aca="false">SUMPRODUCT(('Revenue Planning'!$A$4:$A$51=A15)*('Revenue Planning'!$G$4:$G$51-'Revenue Planning'!$D$4:$D$51)*'Revenue Planning'!$E$4:$E$51)</f>
        <v>-27159.38</v>
      </c>
      <c r="G15" s="29" t="n">
        <f aca="false">SUMPRODUCT(('Revenue Planning'!$A$4:$A$51=A15)*('Revenue Planning'!$H$4:$H$51-'Revenue Planning'!$E$4:$E$51)*'Revenue Planning'!$G$4:$G$51)</f>
        <v>16.359999999818</v>
      </c>
      <c r="H15" s="29" t="n">
        <f aca="false">'Budget vs Actual'!H15</f>
        <v>2534445.0612</v>
      </c>
      <c r="I15" s="29" t="n">
        <f aca="false">'Budget vs Actual'!I15</f>
        <v>2524316.984724</v>
      </c>
      <c r="J15" s="15" t="n">
        <f aca="false">I15-H15</f>
        <v>-10128.0764760003</v>
      </c>
      <c r="K15" s="17" t="n">
        <f aca="false">IFERROR(J15/H15,"")</f>
        <v>-0.00399617124515804</v>
      </c>
      <c r="L15" s="29" t="n">
        <f aca="false">'Budget vs Actual'!M15</f>
        <v>521627.6988</v>
      </c>
      <c r="M15" s="29" t="n">
        <f aca="false">'Budget vs Actual'!N15</f>
        <v>504612.755276</v>
      </c>
      <c r="N15" s="15" t="n">
        <f aca="false">M15-L15</f>
        <v>-17014.9435240002</v>
      </c>
      <c r="O15" s="17" t="n">
        <f aca="false">IFERROR(N15/L15,"")</f>
        <v>-0.0326189417531756</v>
      </c>
      <c r="P15" s="26" t="str">
        <f aca="false">IF(N15&gt;=0,"Favourable","Unfavourable")</f>
        <v>Unfavourable</v>
      </c>
      <c r="Q15" s="26" t="str">
        <f aca="false">IF(AND(ABS(F15)&gt;=ABS(G15),ABS(F15)&gt;=ABS(J15)),"Sales Volume",IF(AND(ABS(G15)&gt;ABS(F15),ABS(G15)&gt;=ABS(J15)),"Selling Price","Operating Cost"))</f>
        <v>Sales Volume</v>
      </c>
    </row>
    <row r="17" customFormat="false" ht="21.75" hidden="false" customHeight="true" outlineLevel="0" collapsed="false">
      <c r="A17" s="11" t="s">
        <v>133</v>
      </c>
      <c r="B17" s="11"/>
      <c r="C17" s="11"/>
      <c r="D17" s="11"/>
      <c r="E17" s="11"/>
      <c r="F17" s="11"/>
      <c r="G17" s="11"/>
      <c r="H17" s="11"/>
      <c r="I17" s="11"/>
      <c r="J17" s="11"/>
      <c r="K17" s="11"/>
      <c r="L17" s="11"/>
      <c r="M17" s="11"/>
      <c r="N17" s="11"/>
      <c r="O17" s="11"/>
      <c r="P17" s="11"/>
      <c r="Q17" s="11"/>
    </row>
  </sheetData>
  <mergeCells count="2">
    <mergeCell ref="A1:Q1"/>
    <mergeCell ref="A17:Q17"/>
  </mergeCells>
  <conditionalFormatting sqref="P4:P15">
    <cfRule type="cellIs" priority="2" operator="equal" aboveAverage="0" equalAverage="0" bottom="0" percent="0" rank="0" text="" dxfId="7">
      <formula>"Unfavourable"</formula>
    </cfRule>
    <cfRule type="cellIs" priority="3" operator="equal" aboveAverage="0" equalAverage="0" bottom="0" percent="0" rank="0" text="" dxfId="8">
      <formula>"Favourable"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15"/>
    <col collapsed="false" customWidth="true" hidden="false" outlineLevel="0" max="4" min="4" style="1" width="14"/>
    <col collapsed="false" customWidth="true" hidden="false" outlineLevel="0" max="5" min="5" style="1" width="13"/>
    <col collapsed="false" customWidth="true" hidden="false" outlineLevel="0" max="6" min="6" style="1" width="14"/>
    <col collapsed="false" customWidth="true" hidden="false" outlineLevel="0" max="7" min="7" style="1" width="15"/>
    <col collapsed="false" customWidth="true" hidden="false" outlineLevel="0" max="8" min="8" style="1" width="13"/>
    <col collapsed="false" customWidth="true" hidden="false" outlineLevel="0" max="9" min="9" style="1" width="3"/>
    <col collapsed="false" customWidth="true" hidden="false" outlineLevel="0" max="10" min="10" style="1" width="14"/>
    <col collapsed="false" customWidth="true" hidden="false" outlineLevel="0" max="11" min="11" style="1" width="15"/>
    <col collapsed="false" customWidth="true" hidden="false" outlineLevel="0" max="12" min="12" style="1" width="14"/>
    <col collapsed="false" customWidth="true" hidden="false" outlineLevel="0" max="13" min="13" style="1" width="13"/>
    <col collapsed="false" customWidth="true" hidden="false" outlineLevel="0" max="14" min="14" style="1" width="14"/>
    <col collapsed="false" customWidth="true" hidden="false" outlineLevel="0" max="15" min="15" style="1" width="15"/>
    <col collapsed="false" customWidth="true" hidden="false" outlineLevel="0" max="16" min="16" style="1" width="13"/>
  </cols>
  <sheetData>
    <row r="1" customFormat="false" ht="21.75" hidden="false" customHeight="true" outlineLevel="0" collapsed="false">
      <c r="A1" s="2" t="s">
        <v>134</v>
      </c>
      <c r="B1" s="2"/>
      <c r="C1" s="2"/>
      <c r="D1" s="2"/>
      <c r="E1" s="2"/>
      <c r="F1" s="2"/>
      <c r="G1" s="2"/>
      <c r="H1" s="2"/>
      <c r="I1" s="2"/>
      <c r="J1" s="2"/>
      <c r="K1" s="2"/>
      <c r="L1" s="2"/>
      <c r="M1" s="2"/>
      <c r="N1" s="2"/>
      <c r="O1" s="2"/>
    </row>
    <row r="3" customFormat="false" ht="15" hidden="false" customHeight="true" outlineLevel="0" collapsed="false">
      <c r="A3" s="6" t="s">
        <v>135</v>
      </c>
      <c r="B3" s="34"/>
      <c r="C3" s="34"/>
      <c r="D3" s="34"/>
      <c r="E3" s="34"/>
      <c r="F3" s="34"/>
      <c r="G3" s="34"/>
      <c r="I3" s="6" t="s">
        <v>136</v>
      </c>
      <c r="J3" s="34"/>
      <c r="K3" s="34"/>
      <c r="L3" s="34"/>
      <c r="M3" s="34"/>
      <c r="N3" s="34"/>
      <c r="O3" s="34"/>
    </row>
    <row r="4" customFormat="false" ht="27.75" hidden="false" customHeight="true" outlineLevel="0" collapsed="false">
      <c r="A4" s="7" t="s">
        <v>14</v>
      </c>
      <c r="B4" s="7" t="s">
        <v>25</v>
      </c>
      <c r="C4" s="7" t="s">
        <v>137</v>
      </c>
      <c r="D4" s="7" t="s">
        <v>138</v>
      </c>
      <c r="E4" s="7" t="s">
        <v>139</v>
      </c>
      <c r="F4" s="7" t="s">
        <v>140</v>
      </c>
      <c r="G4" s="7" t="s">
        <v>141</v>
      </c>
      <c r="H4" s="7"/>
      <c r="I4" s="7"/>
      <c r="J4" s="7" t="s">
        <v>137</v>
      </c>
      <c r="K4" s="7" t="s">
        <v>138</v>
      </c>
      <c r="L4" s="7" t="s">
        <v>139</v>
      </c>
      <c r="M4" s="7" t="s">
        <v>140</v>
      </c>
      <c r="N4" s="7" t="s">
        <v>141</v>
      </c>
    </row>
    <row r="5" customFormat="false" ht="15" hidden="false" customHeight="true" outlineLevel="0" collapsed="false">
      <c r="A5" s="12" t="s">
        <v>47</v>
      </c>
      <c r="B5" s="29" t="n">
        <f aca="false">SUMIF('Revenue Planning'!$A$4:$A$51,A5,'Revenue Planning'!$F$4:$F$51)</f>
        <v>2861000</v>
      </c>
      <c r="C5" s="29" t="n">
        <f aca="false">SUMIF('Revenue Planning'!$A$4:$A$51,A5,'Revenue Planning'!$N$4:$N$51)+SUMIFS('Expense Budget'!$E$4:$E$111,'Expense Budget'!$A$4:$A$111,A5,'Expense Budget'!$D$4:$D$111,"Variable")</f>
        <v>1945400</v>
      </c>
      <c r="D5" s="15" t="n">
        <f aca="false">B5-C5</f>
        <v>915600</v>
      </c>
      <c r="E5" s="17" t="n">
        <f aca="false">IFERROR(D5/B5,"")</f>
        <v>0.320027962250961</v>
      </c>
      <c r="F5" s="29" t="n">
        <f aca="false">SUMIFS('Expense Budget'!$E$4:$E$111,'Expense Budget'!$A$4:$A$111,A5,'Expense Budget'!$D$4:$D$111,"Fixed")</f>
        <v>426000</v>
      </c>
      <c r="G5" s="15" t="n">
        <f aca="false">D5-F5</f>
        <v>489600</v>
      </c>
      <c r="H5" s="28"/>
      <c r="I5" s="29" t="n">
        <f aca="false">SUMIF('Revenue Planning'!$A$4:$A$51,A5,'Revenue Planning'!$I$4:$I$51)</f>
        <v>2874061.94</v>
      </c>
      <c r="J5" s="29" t="n">
        <f aca="false">SUMIF('Revenue Planning'!$A$4:$A$51,A5,'Revenue Planning'!$P$4:$P$51)+SUMIFS('Expense Budget'!$F$4:$F$111,'Expense Budget'!$A$4:$A$111,A5,'Expense Budget'!$D$4:$D$111,"Variable")</f>
        <v>1944126.492708</v>
      </c>
      <c r="K5" s="15" t="n">
        <f aca="false">I5-J5</f>
        <v>929935.447292</v>
      </c>
      <c r="L5" s="17" t="n">
        <f aca="false">IFERROR(K5/I5,"")</f>
        <v>0.323561379923496</v>
      </c>
      <c r="M5" s="29" t="n">
        <f aca="false">SUMIFS('Expense Budget'!$F$4:$F$111,'Expense Budget'!$A$4:$A$111,A5,'Expense Budget'!$D$4:$D$111,"Fixed")</f>
        <v>427022</v>
      </c>
      <c r="N5" s="15" t="n">
        <f aca="false">K5-M5</f>
        <v>502913.447292</v>
      </c>
    </row>
    <row r="6" customFormat="false" ht="15" hidden="false" customHeight="true" outlineLevel="0" collapsed="false">
      <c r="A6" s="12" t="s">
        <v>53</v>
      </c>
      <c r="B6" s="29" t="n">
        <f aca="false">SUMIF('Revenue Planning'!$A$4:$A$51,A6,'Revenue Planning'!$F$4:$F$51)</f>
        <v>2978440.7</v>
      </c>
      <c r="C6" s="29" t="n">
        <f aca="false">SUMIF('Revenue Planning'!$A$4:$A$51,A6,'Revenue Planning'!$N$4:$N$51)+SUMIFS('Expense Budget'!$E$4:$E$111,'Expense Budget'!$A$4:$A$111,A6,'Expense Budget'!$D$4:$D$111,"Variable")</f>
        <v>2017615.8996</v>
      </c>
      <c r="D6" s="15" t="n">
        <f aca="false">B6-C6</f>
        <v>960824.8004</v>
      </c>
      <c r="E6" s="17" t="n">
        <f aca="false">IFERROR(D6/B6,"")</f>
        <v>0.322593228194874</v>
      </c>
      <c r="F6" s="29" t="n">
        <f aca="false">SUMIFS('Expense Budget'!$E$4:$E$111,'Expense Budget'!$A$4:$A$111,A6,'Expense Budget'!$D$4:$D$111,"Fixed")</f>
        <v>428556</v>
      </c>
      <c r="G6" s="15" t="n">
        <f aca="false">D6-F6</f>
        <v>532268.8004</v>
      </c>
      <c r="H6" s="28"/>
      <c r="I6" s="29" t="n">
        <f aca="false">SUMIF('Revenue Planning'!$A$4:$A$51,A6,'Revenue Planning'!$I$4:$I$51)</f>
        <v>2956844.19</v>
      </c>
      <c r="J6" s="29" t="n">
        <f aca="false">SUMIF('Revenue Planning'!$A$4:$A$51,A6,'Revenue Planning'!$P$4:$P$51)+SUMIFS('Expense Budget'!$F$4:$F$111,'Expense Budget'!$A$4:$A$111,A6,'Expense Budget'!$D$4:$D$111,"Variable")</f>
        <v>2003008.095905</v>
      </c>
      <c r="K6" s="15" t="n">
        <f aca="false">I6-J6</f>
        <v>953836.094095</v>
      </c>
      <c r="L6" s="17" t="n">
        <f aca="false">IFERROR(K6/I6,"")</f>
        <v>0.322585849237798</v>
      </c>
      <c r="M6" s="29" t="n">
        <f aca="false">SUMIFS('Expense Budget'!$F$4:$F$111,'Expense Budget'!$A$4:$A$111,A6,'Expense Budget'!$D$4:$D$111,"Fixed")</f>
        <v>434703</v>
      </c>
      <c r="N6" s="15" t="n">
        <f aca="false">K6-M6</f>
        <v>519133.094095</v>
      </c>
    </row>
    <row r="7" customFormat="false" ht="15" hidden="false" customHeight="true" outlineLevel="0" collapsed="false">
      <c r="A7" s="12" t="s">
        <v>54</v>
      </c>
      <c r="B7" s="29" t="n">
        <f aca="false">SUMIF('Revenue Planning'!$A$4:$A$51,A7,'Revenue Planning'!$F$4:$F$51)</f>
        <v>2943903.76</v>
      </c>
      <c r="C7" s="29" t="n">
        <f aca="false">SUMIF('Revenue Planning'!$A$4:$A$51,A7,'Revenue Planning'!$N$4:$N$51)+SUMIFS('Expense Budget'!$E$4:$E$111,'Expense Budget'!$A$4:$A$111,A7,'Expense Budget'!$D$4:$D$111,"Variable")</f>
        <v>1997941.5582</v>
      </c>
      <c r="D7" s="15" t="n">
        <f aca="false">B7-C7</f>
        <v>945962.2018</v>
      </c>
      <c r="E7" s="17" t="n">
        <f aca="false">IFERROR(D7/B7,"")</f>
        <v>0.321329186997608</v>
      </c>
      <c r="F7" s="29" t="n">
        <f aca="false">SUMIFS('Expense Budget'!$E$4:$E$111,'Expense Budget'!$A$4:$A$111,A7,'Expense Budget'!$D$4:$D$111,"Fixed")</f>
        <v>431112</v>
      </c>
      <c r="G7" s="15" t="n">
        <f aca="false">D7-F7</f>
        <v>514850.2018</v>
      </c>
      <c r="H7" s="28"/>
      <c r="I7" s="29" t="n">
        <f aca="false">SUMIF('Revenue Planning'!$A$4:$A$51,A7,'Revenue Planning'!$I$4:$I$51)</f>
        <v>2920238.24</v>
      </c>
      <c r="J7" s="29" t="n">
        <f aca="false">SUMIF('Revenue Planning'!$A$4:$A$51,A7,'Revenue Planning'!$P$4:$P$51)+SUMIFS('Expense Budget'!$F$4:$F$111,'Expense Budget'!$A$4:$A$111,A7,'Expense Budget'!$D$4:$D$111,"Variable")</f>
        <v>2017962.962186</v>
      </c>
      <c r="K7" s="15" t="n">
        <f aca="false">I7-J7</f>
        <v>902275.277814</v>
      </c>
      <c r="L7" s="17" t="n">
        <f aca="false">IFERROR(K7/I7,"")</f>
        <v>0.308973173988024</v>
      </c>
      <c r="M7" s="29" t="n">
        <f aca="false">SUMIFS('Expense Budget'!$F$4:$F$111,'Expense Budget'!$A$4:$A$111,A7,'Expense Budget'!$D$4:$D$111,"Fixed")</f>
        <v>429526</v>
      </c>
      <c r="N7" s="15" t="n">
        <f aca="false">K7-M7</f>
        <v>472749.277814</v>
      </c>
    </row>
    <row r="8" customFormat="false" ht="15" hidden="false" customHeight="true" outlineLevel="0" collapsed="false">
      <c r="A8" s="12" t="s">
        <v>55</v>
      </c>
      <c r="B8" s="29" t="n">
        <f aca="false">SUMIF('Revenue Planning'!$A$4:$A$51,A8,'Revenue Planning'!$F$4:$F$51)</f>
        <v>2742366.99</v>
      </c>
      <c r="C8" s="29" t="n">
        <f aca="false">SUMIF('Revenue Planning'!$A$4:$A$51,A8,'Revenue Planning'!$N$4:$N$51)+SUMIFS('Expense Budget'!$E$4:$E$111,'Expense Budget'!$A$4:$A$111,A8,'Expense Budget'!$D$4:$D$111,"Variable")</f>
        <v>1879214.558</v>
      </c>
      <c r="D8" s="15" t="n">
        <f aca="false">B8-C8</f>
        <v>863152.432</v>
      </c>
      <c r="E8" s="17" t="n">
        <f aca="false">IFERROR(D8/B8,"")</f>
        <v>0.314747236656316</v>
      </c>
      <c r="F8" s="29" t="n">
        <f aca="false">SUMIFS('Expense Budget'!$E$4:$E$111,'Expense Budget'!$A$4:$A$111,A8,'Expense Budget'!$D$4:$D$111,"Fixed")</f>
        <v>433668</v>
      </c>
      <c r="G8" s="15" t="n">
        <f aca="false">D8-F8</f>
        <v>429484.432</v>
      </c>
      <c r="H8" s="28"/>
      <c r="I8" s="29" t="n">
        <f aca="false">SUMIF('Revenue Planning'!$A$4:$A$51,A8,'Revenue Planning'!$I$4:$I$51)</f>
        <v>2661268.87</v>
      </c>
      <c r="J8" s="29" t="n">
        <f aca="false">SUMIF('Revenue Planning'!$A$4:$A$51,A8,'Revenue Planning'!$P$4:$P$51)+SUMIFS('Expense Budget'!$F$4:$F$111,'Expense Budget'!$A$4:$A$111,A8,'Expense Budget'!$D$4:$D$111,"Variable")</f>
        <v>1863464.024766</v>
      </c>
      <c r="K8" s="15" t="n">
        <f aca="false">I8-J8</f>
        <v>797804.845234</v>
      </c>
      <c r="L8" s="17" t="n">
        <f aca="false">IFERROR(K8/I8,"")</f>
        <v>0.299783631119542</v>
      </c>
      <c r="M8" s="29" t="n">
        <f aca="false">SUMIFS('Expense Budget'!$F$4:$F$111,'Expense Budget'!$A$4:$A$111,A8,'Expense Budget'!$D$4:$D$111,"Fixed")</f>
        <v>437228</v>
      </c>
      <c r="N8" s="15" t="n">
        <f aca="false">K8-M8</f>
        <v>360576.845234</v>
      </c>
    </row>
    <row r="9" customFormat="false" ht="15" hidden="false" customHeight="true" outlineLevel="0" collapsed="false">
      <c r="A9" s="12" t="s">
        <v>57</v>
      </c>
      <c r="B9" s="29" t="n">
        <f aca="false">SUMIF('Revenue Planning'!$A$4:$A$51,A9,'Revenue Planning'!$F$4:$F$51)</f>
        <v>2743148.7</v>
      </c>
      <c r="C9" s="29" t="n">
        <f aca="false">SUMIF('Revenue Planning'!$A$4:$A$51,A9,'Revenue Planning'!$N$4:$N$51)+SUMIFS('Expense Budget'!$E$4:$E$111,'Expense Budget'!$A$4:$A$111,A9,'Expense Budget'!$D$4:$D$111,"Variable")</f>
        <v>1881467.3656</v>
      </c>
      <c r="D9" s="15" t="n">
        <f aca="false">B9-C9</f>
        <v>861681.3344</v>
      </c>
      <c r="E9" s="17" t="n">
        <f aca="false">IFERROR(D9/B9,"")</f>
        <v>0.314121263058033</v>
      </c>
      <c r="F9" s="29" t="n">
        <f aca="false">SUMIFS('Expense Budget'!$E$4:$E$111,'Expense Budget'!$A$4:$A$111,A9,'Expense Budget'!$D$4:$D$111,"Fixed")</f>
        <v>436224</v>
      </c>
      <c r="G9" s="15" t="n">
        <f aca="false">D9-F9</f>
        <v>425457.3344</v>
      </c>
      <c r="H9" s="28"/>
      <c r="I9" s="29" t="n">
        <f aca="false">SUMIF('Revenue Planning'!$A$4:$A$51,A9,'Revenue Planning'!$I$4:$I$51)</f>
        <v>2611563.16</v>
      </c>
      <c r="J9" s="29" t="n">
        <f aca="false">SUMIF('Revenue Planning'!$A$4:$A$51,A9,'Revenue Planning'!$P$4:$P$51)+SUMIFS('Expense Budget'!$F$4:$F$111,'Expense Budget'!$A$4:$A$111,A9,'Expense Budget'!$D$4:$D$111,"Variable")</f>
        <v>1844291.76752</v>
      </c>
      <c r="K9" s="15" t="n">
        <f aca="false">I9-J9</f>
        <v>767271.39248</v>
      </c>
      <c r="L9" s="17" t="n">
        <f aca="false">IFERROR(K9/I9,"")</f>
        <v>0.293797754629071</v>
      </c>
      <c r="M9" s="29" t="n">
        <f aca="false">SUMIFS('Expense Budget'!$F$4:$F$111,'Expense Budget'!$A$4:$A$111,A9,'Expense Budget'!$D$4:$D$111,"Fixed")</f>
        <v>438618</v>
      </c>
      <c r="N9" s="15" t="n">
        <f aca="false">K9-M9</f>
        <v>328653.39248</v>
      </c>
    </row>
    <row r="10" customFormat="false" ht="15" hidden="false" customHeight="true" outlineLevel="0" collapsed="false">
      <c r="A10" s="12" t="s">
        <v>58</v>
      </c>
      <c r="B10" s="29" t="n">
        <f aca="false">SUMIF('Revenue Planning'!$A$4:$A$51,A10,'Revenue Planning'!$F$4:$F$51)</f>
        <v>2843333.82</v>
      </c>
      <c r="C10" s="29" t="n">
        <f aca="false">SUMIF('Revenue Planning'!$A$4:$A$51,A10,'Revenue Planning'!$N$4:$N$51)+SUMIFS('Expense Budget'!$E$4:$E$111,'Expense Budget'!$A$4:$A$111,A10,'Expense Budget'!$D$4:$D$111,"Variable")</f>
        <v>1944537.2448</v>
      </c>
      <c r="D10" s="15" t="n">
        <f aca="false">B10-C10</f>
        <v>898796.5752</v>
      </c>
      <c r="E10" s="17" t="n">
        <f aca="false">IFERROR(D10/B10,"")</f>
        <v>0.316106596023959</v>
      </c>
      <c r="F10" s="29" t="n">
        <f aca="false">SUMIFS('Expense Budget'!$E$4:$E$111,'Expense Budget'!$A$4:$A$111,A10,'Expense Budget'!$D$4:$D$111,"Fixed")</f>
        <v>438780</v>
      </c>
      <c r="G10" s="15" t="n">
        <f aca="false">D10-F10</f>
        <v>460016.5752</v>
      </c>
      <c r="H10" s="28"/>
      <c r="I10" s="29" t="n">
        <f aca="false">SUMIF('Revenue Planning'!$A$4:$A$51,A10,'Revenue Planning'!$I$4:$I$51)</f>
        <v>2826123.68</v>
      </c>
      <c r="J10" s="29" t="n">
        <f aca="false">SUMIF('Revenue Planning'!$A$4:$A$51,A10,'Revenue Planning'!$P$4:$P$51)+SUMIFS('Expense Budget'!$F$4:$F$111,'Expense Budget'!$A$4:$A$111,A10,'Expense Budget'!$D$4:$D$111,"Variable")</f>
        <v>1923423.271716</v>
      </c>
      <c r="K10" s="15" t="n">
        <f aca="false">I10-J10</f>
        <v>902700.408284</v>
      </c>
      <c r="L10" s="17" t="n">
        <f aca="false">IFERROR(K10/I10,"")</f>
        <v>0.319412916947782</v>
      </c>
      <c r="M10" s="29" t="n">
        <f aca="false">SUMIFS('Expense Budget'!$F$4:$F$111,'Expense Budget'!$A$4:$A$111,A10,'Expense Budget'!$D$4:$D$111,"Fixed")</f>
        <v>440645</v>
      </c>
      <c r="N10" s="15" t="n">
        <f aca="false">K10-M10</f>
        <v>462055.408284</v>
      </c>
    </row>
    <row r="11" customFormat="false" ht="15" hidden="false" customHeight="true" outlineLevel="0" collapsed="false">
      <c r="A11" s="12" t="s">
        <v>59</v>
      </c>
      <c r="B11" s="29" t="n">
        <f aca="false">SUMIF('Revenue Planning'!$A$4:$A$51,A11,'Revenue Planning'!$F$4:$F$51)</f>
        <v>3308101.5</v>
      </c>
      <c r="C11" s="29" t="n">
        <f aca="false">SUMIF('Revenue Planning'!$A$4:$A$51,A11,'Revenue Planning'!$N$4:$N$51)+SUMIFS('Expense Budget'!$E$4:$E$111,'Expense Budget'!$A$4:$A$111,A11,'Expense Budget'!$D$4:$D$111,"Variable")</f>
        <v>2264004.548</v>
      </c>
      <c r="D11" s="15" t="n">
        <f aca="false">B11-C11</f>
        <v>1044096.952</v>
      </c>
      <c r="E11" s="17" t="n">
        <f aca="false">IFERROR(D11/B11,"")</f>
        <v>0.315618173142511</v>
      </c>
      <c r="F11" s="29" t="n">
        <f aca="false">SUMIFS('Expense Budget'!$E$4:$E$111,'Expense Budget'!$A$4:$A$111,A11,'Expense Budget'!$D$4:$D$111,"Fixed")</f>
        <v>441336</v>
      </c>
      <c r="G11" s="15" t="n">
        <f aca="false">D11-F11</f>
        <v>602760.952</v>
      </c>
      <c r="H11" s="28"/>
      <c r="I11" s="29" t="n">
        <f aca="false">SUMIF('Revenue Planning'!$A$4:$A$51,A11,'Revenue Planning'!$I$4:$I$51)</f>
        <v>3579618.24</v>
      </c>
      <c r="J11" s="29" t="n">
        <f aca="false">SUMIF('Revenue Planning'!$A$4:$A$51,A11,'Revenue Planning'!$P$4:$P$51)+SUMIFS('Expense Budget'!$F$4:$F$111,'Expense Budget'!$A$4:$A$111,A11,'Expense Budget'!$D$4:$D$111,"Variable")</f>
        <v>2430801.359468</v>
      </c>
      <c r="K11" s="15" t="n">
        <f aca="false">I11-J11</f>
        <v>1148816.880532</v>
      </c>
      <c r="L11" s="17" t="n">
        <f aca="false">IFERROR(K11/I11,"")</f>
        <v>0.320932793250042</v>
      </c>
      <c r="M11" s="29" t="n">
        <f aca="false">SUMIFS('Expense Budget'!$F$4:$F$111,'Expense Budget'!$A$4:$A$111,A11,'Expense Budget'!$D$4:$D$111,"Fixed")</f>
        <v>438669</v>
      </c>
      <c r="N11" s="15" t="n">
        <f aca="false">K11-M11</f>
        <v>710147.880532</v>
      </c>
    </row>
    <row r="12" customFormat="false" ht="15" hidden="false" customHeight="true" outlineLevel="0" collapsed="false">
      <c r="A12" s="12" t="s">
        <v>61</v>
      </c>
      <c r="B12" s="29" t="n">
        <f aca="false">SUMIF('Revenue Planning'!$A$4:$A$51,A12,'Revenue Planning'!$F$4:$F$51)</f>
        <v>3456789.67</v>
      </c>
      <c r="C12" s="29" t="n">
        <f aca="false">SUMIF('Revenue Planning'!$A$4:$A$51,A12,'Revenue Planning'!$N$4:$N$51)+SUMIFS('Expense Budget'!$E$4:$E$111,'Expense Budget'!$A$4:$A$111,A12,'Expense Budget'!$D$4:$D$111,"Variable")</f>
        <v>2360592.3362</v>
      </c>
      <c r="D12" s="15" t="n">
        <f aca="false">B12-C12</f>
        <v>1096197.3338</v>
      </c>
      <c r="E12" s="17" t="n">
        <f aca="false">IFERROR(D12/B12,"")</f>
        <v>0.317114270305025</v>
      </c>
      <c r="F12" s="29" t="n">
        <f aca="false">SUMIFS('Expense Budget'!$E$4:$E$111,'Expense Budget'!$A$4:$A$111,A12,'Expense Budget'!$D$4:$D$111,"Fixed")</f>
        <v>443892</v>
      </c>
      <c r="G12" s="15" t="n">
        <f aca="false">D12-F12</f>
        <v>652305.3338</v>
      </c>
      <c r="H12" s="28"/>
      <c r="I12" s="29" t="n">
        <f aca="false">SUMIF('Revenue Planning'!$A$4:$A$51,A12,'Revenue Planning'!$I$4:$I$51)</f>
        <v>3669694.39</v>
      </c>
      <c r="J12" s="29" t="n">
        <f aca="false">SUMIF('Revenue Planning'!$A$4:$A$51,A12,'Revenue Planning'!$P$4:$P$51)+SUMIFS('Expense Budget'!$F$4:$F$111,'Expense Budget'!$A$4:$A$111,A12,'Expense Budget'!$D$4:$D$111,"Variable")</f>
        <v>2489252.963887</v>
      </c>
      <c r="K12" s="15" t="n">
        <f aca="false">I12-J12</f>
        <v>1180441.426113</v>
      </c>
      <c r="L12" s="17" t="n">
        <f aca="false">IFERROR(K12/I12,"")</f>
        <v>0.321672951657699</v>
      </c>
      <c r="M12" s="29" t="n">
        <f aca="false">SUMIFS('Expense Budget'!$F$4:$F$111,'Expense Budget'!$A$4:$A$111,A12,'Expense Budget'!$D$4:$D$111,"Fixed")</f>
        <v>443444</v>
      </c>
      <c r="N12" s="15" t="n">
        <f aca="false">K12-M12</f>
        <v>736997.426113</v>
      </c>
    </row>
    <row r="13" customFormat="false" ht="15" hidden="false" customHeight="true" outlineLevel="0" collapsed="false">
      <c r="A13" s="12" t="s">
        <v>62</v>
      </c>
      <c r="B13" s="29" t="n">
        <f aca="false">SUMIF('Revenue Planning'!$A$4:$A$51,A13,'Revenue Planning'!$F$4:$F$51)</f>
        <v>3144592.85</v>
      </c>
      <c r="C13" s="29" t="n">
        <f aca="false">SUMIF('Revenue Planning'!$A$4:$A$51,A13,'Revenue Planning'!$N$4:$N$51)+SUMIFS('Expense Budget'!$E$4:$E$111,'Expense Budget'!$A$4:$A$111,A13,'Expense Budget'!$D$4:$D$111,"Variable")</f>
        <v>2134786.7936</v>
      </c>
      <c r="D13" s="15" t="n">
        <f aca="false">B13-C13</f>
        <v>1009806.0564</v>
      </c>
      <c r="E13" s="17" t="n">
        <f aca="false">IFERROR(D13/B13,"")</f>
        <v>0.321124579418922</v>
      </c>
      <c r="F13" s="29" t="n">
        <f aca="false">SUMIFS('Expense Budget'!$E$4:$E$111,'Expense Budget'!$A$4:$A$111,A13,'Expense Budget'!$D$4:$D$111,"Fixed")</f>
        <v>446448</v>
      </c>
      <c r="G13" s="15" t="n">
        <f aca="false">D13-F13</f>
        <v>563358.0564</v>
      </c>
      <c r="H13" s="28"/>
      <c r="I13" s="29" t="n">
        <f aca="false">SUMIF('Revenue Planning'!$A$4:$A$51,A13,'Revenue Planning'!$I$4:$I$51)</f>
        <v>3131490.95</v>
      </c>
      <c r="J13" s="29" t="n">
        <f aca="false">SUMIF('Revenue Planning'!$A$4:$A$51,A13,'Revenue Planning'!$P$4:$P$51)+SUMIFS('Expense Budget'!$F$4:$F$111,'Expense Budget'!$A$4:$A$111,A13,'Expense Budget'!$D$4:$D$111,"Variable")</f>
        <v>2114244.979818</v>
      </c>
      <c r="K13" s="15" t="n">
        <f aca="false">I13-J13</f>
        <v>1017245.970182</v>
      </c>
      <c r="L13" s="17" t="n">
        <f aca="false">IFERROR(K13/I13,"")</f>
        <v>0.324843975736861</v>
      </c>
      <c r="M13" s="29" t="n">
        <f aca="false">SUMIFS('Expense Budget'!$F$4:$F$111,'Expense Budget'!$A$4:$A$111,A13,'Expense Budget'!$D$4:$D$111,"Fixed")</f>
        <v>449505</v>
      </c>
      <c r="N13" s="15" t="n">
        <f aca="false">K13-M13</f>
        <v>567740.970182</v>
      </c>
    </row>
    <row r="14" customFormat="false" ht="15" hidden="false" customHeight="true" outlineLevel="0" collapsed="false">
      <c r="A14" s="12" t="s">
        <v>63</v>
      </c>
      <c r="B14" s="29" t="n">
        <f aca="false">SUMIF('Revenue Planning'!$A$4:$A$51,A14,'Revenue Planning'!$F$4:$F$51)</f>
        <v>2770198.68</v>
      </c>
      <c r="C14" s="29" t="n">
        <f aca="false">SUMIF('Revenue Planning'!$A$4:$A$51,A14,'Revenue Planning'!$N$4:$N$51)+SUMIFS('Expense Budget'!$E$4:$E$111,'Expense Budget'!$A$4:$A$111,A14,'Expense Budget'!$D$4:$D$111,"Variable")</f>
        <v>1905492.4276</v>
      </c>
      <c r="D14" s="15" t="n">
        <f aca="false">B14-C14</f>
        <v>864706.2524</v>
      </c>
      <c r="E14" s="17" t="n">
        <f aca="false">IFERROR(D14/B14,"")</f>
        <v>0.312145933301795</v>
      </c>
      <c r="F14" s="29" t="n">
        <f aca="false">SUMIFS('Expense Budget'!$E$4:$E$111,'Expense Budget'!$A$4:$A$111,A14,'Expense Budget'!$D$4:$D$111,"Fixed")</f>
        <v>449004</v>
      </c>
      <c r="G14" s="15" t="n">
        <f aca="false">D14-F14</f>
        <v>415702.2524</v>
      </c>
      <c r="H14" s="28"/>
      <c r="I14" s="29" t="n">
        <f aca="false">SUMIF('Revenue Planning'!$A$4:$A$51,A14,'Revenue Planning'!$I$4:$I$51)</f>
        <v>2469819.37</v>
      </c>
      <c r="J14" s="29" t="n">
        <f aca="false">SUMIF('Revenue Planning'!$A$4:$A$51,A14,'Revenue Planning'!$P$4:$P$51)+SUMIFS('Expense Budget'!$F$4:$F$111,'Expense Budget'!$A$4:$A$111,A14,'Expense Budget'!$D$4:$D$111,"Variable")</f>
        <v>1753378.637388</v>
      </c>
      <c r="K14" s="15" t="n">
        <f aca="false">I14-J14</f>
        <v>716440.732612</v>
      </c>
      <c r="L14" s="17" t="n">
        <f aca="false">IFERROR(K14/I14,"")</f>
        <v>0.290078190054846</v>
      </c>
      <c r="M14" s="29" t="n">
        <f aca="false">SUMIFS('Expense Budget'!$F$4:$F$111,'Expense Budget'!$A$4:$A$111,A14,'Expense Budget'!$D$4:$D$111,"Fixed")</f>
        <v>453301</v>
      </c>
      <c r="N14" s="15" t="n">
        <f aca="false">K14-M14</f>
        <v>263139.732612</v>
      </c>
    </row>
    <row r="15" customFormat="false" ht="15" hidden="false" customHeight="true" outlineLevel="0" collapsed="false">
      <c r="A15" s="12" t="s">
        <v>65</v>
      </c>
      <c r="B15" s="29" t="n">
        <f aca="false">SUMIF('Revenue Planning'!$A$4:$A$51,A15,'Revenue Planning'!$F$4:$F$51)</f>
        <v>2836900.5</v>
      </c>
      <c r="C15" s="29" t="n">
        <f aca="false">SUMIF('Revenue Planning'!$A$4:$A$51,A15,'Revenue Planning'!$N$4:$N$51)+SUMIFS('Expense Budget'!$E$4:$E$111,'Expense Budget'!$A$4:$A$111,A15,'Expense Budget'!$D$4:$D$111,"Variable")</f>
        <v>1946095.272</v>
      </c>
      <c r="D15" s="15" t="n">
        <f aca="false">B15-C15</f>
        <v>890805.228</v>
      </c>
      <c r="E15" s="17" t="n">
        <f aca="false">IFERROR(D15/B15,"")</f>
        <v>0.314006510979148</v>
      </c>
      <c r="F15" s="29" t="n">
        <f aca="false">SUMIFS('Expense Budget'!$E$4:$E$111,'Expense Budget'!$A$4:$A$111,A15,'Expense Budget'!$D$4:$D$111,"Fixed")</f>
        <v>451560</v>
      </c>
      <c r="G15" s="15" t="n">
        <f aca="false">D15-F15</f>
        <v>439245.228</v>
      </c>
      <c r="H15" s="28"/>
      <c r="I15" s="29" t="n">
        <f aca="false">SUMIF('Revenue Planning'!$A$4:$A$51,A15,'Revenue Planning'!$I$4:$I$51)</f>
        <v>2830605.62</v>
      </c>
      <c r="J15" s="29" t="n">
        <f aca="false">SUMIF('Revenue Planning'!$A$4:$A$51,A15,'Revenue Planning'!$P$4:$P$51)+SUMIFS('Expense Budget'!$F$4:$F$111,'Expense Budget'!$A$4:$A$111,A15,'Expense Budget'!$D$4:$D$111,"Variable")</f>
        <v>1935788.811954</v>
      </c>
      <c r="K15" s="15" t="n">
        <f aca="false">I15-J15</f>
        <v>894816.808046</v>
      </c>
      <c r="L15" s="17" t="n">
        <f aca="false">IFERROR(K15/I15,"")</f>
        <v>0.316122034706481</v>
      </c>
      <c r="M15" s="29" t="n">
        <f aca="false">SUMIFS('Expense Budget'!$F$4:$F$111,'Expense Budget'!$A$4:$A$111,A15,'Expense Budget'!$D$4:$D$111,"Fixed")</f>
        <v>454540</v>
      </c>
      <c r="N15" s="15" t="n">
        <f aca="false">K15-M15</f>
        <v>440276.808046</v>
      </c>
    </row>
    <row r="16" customFormat="false" ht="15" hidden="false" customHeight="true" outlineLevel="0" collapsed="false">
      <c r="A16" s="12" t="s">
        <v>66</v>
      </c>
      <c r="B16" s="29" t="n">
        <f aca="false">SUMIF('Revenue Planning'!$A$4:$A$51,A16,'Revenue Planning'!$F$4:$F$51)</f>
        <v>3056072.76</v>
      </c>
      <c r="C16" s="29" t="n">
        <f aca="false">SUMIF('Revenue Planning'!$A$4:$A$51,A16,'Revenue Planning'!$N$4:$N$51)+SUMIFS('Expense Budget'!$E$4:$E$111,'Expense Budget'!$A$4:$A$111,A16,'Expense Budget'!$D$4:$D$111,"Variable")</f>
        <v>2080329.0612</v>
      </c>
      <c r="D16" s="15" t="n">
        <f aca="false">B16-C16</f>
        <v>975743.6988</v>
      </c>
      <c r="E16" s="17" t="n">
        <f aca="false">IFERROR(D16/B16,"")</f>
        <v>0.319280257843076</v>
      </c>
      <c r="F16" s="29" t="n">
        <f aca="false">SUMIFS('Expense Budget'!$E$4:$E$111,'Expense Budget'!$A$4:$A$111,A16,'Expense Budget'!$D$4:$D$111,"Fixed")</f>
        <v>454116</v>
      </c>
      <c r="G16" s="15" t="n">
        <f aca="false">D16-F16</f>
        <v>521627.6988</v>
      </c>
      <c r="H16" s="28"/>
      <c r="I16" s="29" t="n">
        <f aca="false">SUMIF('Revenue Planning'!$A$4:$A$51,A16,'Revenue Planning'!$I$4:$I$51)</f>
        <v>3028929.74</v>
      </c>
      <c r="J16" s="29" t="n">
        <f aca="false">SUMIF('Revenue Planning'!$A$4:$A$51,A16,'Revenue Planning'!$P$4:$P$51)+SUMIFS('Expense Budget'!$F$4:$F$111,'Expense Budget'!$A$4:$A$111,A16,'Expense Budget'!$D$4:$D$111,"Variable")</f>
        <v>2066314.984724</v>
      </c>
      <c r="K16" s="15" t="n">
        <f aca="false">I16-J16</f>
        <v>962614.755276</v>
      </c>
      <c r="L16" s="17" t="n">
        <f aca="false">IFERROR(K16/I16,"")</f>
        <v>0.317806894812951</v>
      </c>
      <c r="M16" s="29" t="n">
        <f aca="false">SUMIFS('Expense Budget'!$F$4:$F$111,'Expense Budget'!$A$4:$A$111,A16,'Expense Budget'!$D$4:$D$111,"Fixed")</f>
        <v>458002</v>
      </c>
      <c r="N16" s="15" t="n">
        <f aca="false">K16-M16</f>
        <v>504612.755276</v>
      </c>
    </row>
    <row r="17" customFormat="false" ht="15" hidden="false" customHeight="true" outlineLevel="0" collapsed="false">
      <c r="A17" s="30" t="s">
        <v>121</v>
      </c>
      <c r="B17" s="31" t="n">
        <f aca="false">SUM(B5:B16)</f>
        <v>35684849.93</v>
      </c>
      <c r="C17" s="31" t="n">
        <f aca="false">SUM(C5:C16)</f>
        <v>24357477.0648</v>
      </c>
      <c r="D17" s="31" t="n">
        <f aca="false">SUM(D5:D16)</f>
        <v>11327372.8652</v>
      </c>
      <c r="E17" s="32" t="n">
        <f aca="false">IFERROR(D17/B17,"")</f>
        <v>0.317428065058981</v>
      </c>
      <c r="F17" s="31" t="n">
        <f aca="false">SUM(F5:F16)</f>
        <v>5280696</v>
      </c>
      <c r="G17" s="31" t="n">
        <f aca="false">SUM(G5:G16)</f>
        <v>6046676.8652</v>
      </c>
      <c r="H17" s="33"/>
      <c r="I17" s="31" t="n">
        <f aca="false">SUM(I5:I16)</f>
        <v>35560258.39</v>
      </c>
      <c r="J17" s="31" t="n">
        <f aca="false">SUM(J5:J16)</f>
        <v>24386058.35204</v>
      </c>
      <c r="K17" s="31" t="n">
        <f aca="false">SUM(K5:K16)</f>
        <v>11174200.03796</v>
      </c>
      <c r="L17" s="32" t="n">
        <f aca="false">IFERROR(K17/I17,"")</f>
        <v>0.314232813367361</v>
      </c>
      <c r="M17" s="31" t="n">
        <f aca="false">SUM(M5:M16)</f>
        <v>5305203</v>
      </c>
      <c r="N17" s="31" t="n">
        <f aca="false">SUM(N5:N16)</f>
        <v>5868997.03796</v>
      </c>
    </row>
    <row r="19" customFormat="false" ht="21.75" hidden="false" customHeight="true" outlineLevel="0" collapsed="false">
      <c r="A19" s="11" t="s">
        <v>142</v>
      </c>
      <c r="B19" s="11"/>
      <c r="C19" s="11"/>
      <c r="D19" s="11"/>
      <c r="E19" s="11"/>
      <c r="F19" s="11"/>
      <c r="G19" s="11"/>
      <c r="H19" s="11"/>
      <c r="I19" s="11"/>
      <c r="J19" s="11"/>
      <c r="K19" s="11"/>
      <c r="L19" s="11"/>
      <c r="M19" s="11"/>
      <c r="N19" s="11"/>
      <c r="O19" s="11"/>
    </row>
  </sheetData>
  <mergeCells count="4">
    <mergeCell ref="A1:O1"/>
    <mergeCell ref="B3:G3"/>
    <mergeCell ref="J3:O3"/>
    <mergeCell ref="A19:O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5" min="3" style="1" width="16"/>
    <col collapsed="false" customWidth="true" hidden="false" outlineLevel="0" max="6" min="6" style="1" width="15"/>
    <col collapsed="false" customWidth="true" hidden="false" outlineLevel="0" max="7" min="7" style="1" width="14"/>
  </cols>
  <sheetData>
    <row r="1" customFormat="false" ht="21.75" hidden="false" customHeight="true" outlineLevel="0" collapsed="false">
      <c r="A1" s="2" t="s">
        <v>143</v>
      </c>
      <c r="B1" s="2"/>
      <c r="C1" s="2"/>
      <c r="D1" s="2"/>
      <c r="E1" s="2"/>
      <c r="F1" s="2"/>
      <c r="G1" s="2"/>
    </row>
    <row r="3" customFormat="false" ht="15" hidden="false" customHeight="true" outlineLevel="0" collapsed="false">
      <c r="A3" s="6" t="s">
        <v>144</v>
      </c>
    </row>
    <row r="4" customFormat="false" ht="42.75" hidden="false" customHeight="true" outlineLevel="0" collapsed="false">
      <c r="A4" s="11" t="s">
        <v>145</v>
      </c>
      <c r="B4" s="11"/>
      <c r="C4" s="11"/>
      <c r="D4" s="11"/>
      <c r="E4" s="11"/>
      <c r="F4" s="11"/>
      <c r="G4" s="11"/>
    </row>
    <row r="5" customFormat="false" ht="21.75" hidden="false" customHeight="true" outlineLevel="0" collapsed="false">
      <c r="A5" s="11" t="s">
        <v>146</v>
      </c>
      <c r="B5" s="11"/>
      <c r="C5" s="11"/>
      <c r="D5" s="11"/>
      <c r="E5" s="11"/>
      <c r="F5" s="11"/>
      <c r="G5" s="11"/>
    </row>
    <row r="6" customFormat="false" ht="21.75" hidden="false" customHeight="true" outlineLevel="0" collapsed="false">
      <c r="A6" s="11" t="s">
        <v>147</v>
      </c>
      <c r="B6" s="11"/>
      <c r="C6" s="11"/>
      <c r="D6" s="11"/>
      <c r="E6" s="11"/>
      <c r="F6" s="11"/>
      <c r="G6" s="11"/>
    </row>
    <row r="8" customFormat="false" ht="27.75" hidden="false" customHeight="true" outlineLevel="0" collapsed="false">
      <c r="A8" s="7" t="s">
        <v>14</v>
      </c>
      <c r="B8" s="7" t="s">
        <v>148</v>
      </c>
      <c r="C8" s="7" t="s">
        <v>25</v>
      </c>
      <c r="D8" s="7" t="s">
        <v>149</v>
      </c>
      <c r="E8" s="7" t="s">
        <v>141</v>
      </c>
      <c r="F8" s="7" t="s">
        <v>150</v>
      </c>
      <c r="G8" s="7" t="s">
        <v>151</v>
      </c>
    </row>
    <row r="9" customFormat="false" ht="15" hidden="false" customHeight="true" outlineLevel="0" collapsed="false">
      <c r="A9" s="12" t="s">
        <v>63</v>
      </c>
      <c r="B9" s="12" t="s">
        <v>152</v>
      </c>
      <c r="C9" s="29" t="n">
        <f aca="false">'Budget vs Actual'!D13</f>
        <v>2469819.37</v>
      </c>
      <c r="D9" s="29" t="n">
        <f aca="false">'Budget vs Actual'!I13</f>
        <v>2206679.637388</v>
      </c>
      <c r="E9" s="15" t="n">
        <f aca="false">C9-D9</f>
        <v>263139.732612</v>
      </c>
      <c r="F9" s="17" t="n">
        <f aca="false">IFERROR(E9/C9,"")</f>
        <v>0.106542096077253</v>
      </c>
      <c r="G9" s="17" t="str">
        <f aca="false">IF(ROW()=9,"",IFERROR(C9/C8-1,""))</f>
        <v/>
      </c>
    </row>
    <row r="10" customFormat="false" ht="15" hidden="false" customHeight="true" outlineLevel="0" collapsed="false">
      <c r="A10" s="12" t="s">
        <v>65</v>
      </c>
      <c r="B10" s="12" t="s">
        <v>152</v>
      </c>
      <c r="C10" s="29" t="n">
        <f aca="false">'Budget vs Actual'!D14</f>
        <v>2830605.62</v>
      </c>
      <c r="D10" s="29" t="n">
        <f aca="false">'Budget vs Actual'!I14</f>
        <v>2390328.811954</v>
      </c>
      <c r="E10" s="15" t="n">
        <f aca="false">C10-D10</f>
        <v>440276.808046</v>
      </c>
      <c r="F10" s="17" t="n">
        <f aca="false">IFERROR(E10/C10,"")</f>
        <v>0.15554155793911</v>
      </c>
      <c r="G10" s="17" t="n">
        <f aca="false">IF(ROW()=9,"",IFERROR(C10/C9-1,""))</f>
        <v>0.146077990310684</v>
      </c>
    </row>
    <row r="11" customFormat="false" ht="15" hidden="false" customHeight="true" outlineLevel="0" collapsed="false">
      <c r="A11" s="12" t="s">
        <v>66</v>
      </c>
      <c r="B11" s="12" t="s">
        <v>152</v>
      </c>
      <c r="C11" s="29" t="n">
        <f aca="false">'Budget vs Actual'!D15</f>
        <v>3028929.74</v>
      </c>
      <c r="D11" s="29" t="n">
        <f aca="false">'Budget vs Actual'!I15</f>
        <v>2524316.984724</v>
      </c>
      <c r="E11" s="15" t="n">
        <f aca="false">C11-D11</f>
        <v>504612.755276</v>
      </c>
      <c r="F11" s="17" t="n">
        <f aca="false">IFERROR(E11/C11,"")</f>
        <v>0.166597708957092</v>
      </c>
      <c r="G11" s="17" t="n">
        <f aca="false">IF(ROW()=9,"",IFERROR(C11/C10-1,""))</f>
        <v>0.0700642006073597</v>
      </c>
    </row>
    <row r="12" customFormat="false" ht="15" hidden="false" customHeight="true" outlineLevel="0" collapsed="false">
      <c r="A12" s="12" t="s">
        <v>67</v>
      </c>
      <c r="B12" s="12" t="s">
        <v>153</v>
      </c>
      <c r="C12" s="29" t="n">
        <f aca="false">SUMIF('Revenue Planning'!$A$52:$A$75,A12,'Revenue Planning'!$J$52:$J$75)</f>
        <v>3072815.82</v>
      </c>
      <c r="D12" s="29" t="n">
        <f aca="false">SUMIF('Expense Budget'!$A$135:$A$188,A12,'Expense Budget'!$F$135:$F$188)+SUMIF('Revenue Planning'!$A$52:$A$75,A12,'Revenue Planning'!$Q$52:$Q$75)</f>
        <v>2561280.63</v>
      </c>
      <c r="E12" s="15" t="n">
        <f aca="false">C12-D12</f>
        <v>511535.19</v>
      </c>
      <c r="F12" s="17" t="n">
        <f aca="false">IFERROR(E12/C12,"")</f>
        <v>0.166471152182496</v>
      </c>
      <c r="G12" s="17" t="n">
        <f aca="false">IFERROR(C12/C11-1,"")</f>
        <v>0.0144889725966375</v>
      </c>
    </row>
    <row r="13" customFormat="false" ht="15" hidden="false" customHeight="true" outlineLevel="0" collapsed="false">
      <c r="A13" s="12" t="s">
        <v>68</v>
      </c>
      <c r="B13" s="12" t="s">
        <v>153</v>
      </c>
      <c r="C13" s="29" t="n">
        <f aca="false">SUMIF('Revenue Planning'!$A$52:$A$75,A13,'Revenue Planning'!$J$52:$J$75)</f>
        <v>3117363.96</v>
      </c>
      <c r="D13" s="29" t="n">
        <f aca="false">SUMIF('Expense Budget'!$A$135:$A$188,A13,'Expense Budget'!$F$135:$F$188)+SUMIF('Revenue Planning'!$A$52:$A$75,A13,'Revenue Planning'!$Q$52:$Q$75)</f>
        <v>2594139.63</v>
      </c>
      <c r="E13" s="15" t="n">
        <f aca="false">C13-D13</f>
        <v>523224.33</v>
      </c>
      <c r="F13" s="17" t="n">
        <f aca="false">IFERROR(E13/C13,"")</f>
        <v>0.167841912819188</v>
      </c>
      <c r="G13" s="17" t="n">
        <f aca="false">IFERROR(C13/C12-1,"")</f>
        <v>0.0144974976079106</v>
      </c>
    </row>
    <row r="14" customFormat="false" ht="15" hidden="false" customHeight="true" outlineLevel="0" collapsed="false">
      <c r="A14" s="12" t="s">
        <v>69</v>
      </c>
      <c r="B14" s="12" t="s">
        <v>153</v>
      </c>
      <c r="C14" s="29" t="n">
        <f aca="false">SUMIF('Revenue Planning'!$A$52:$A$75,A14,'Revenue Planning'!$J$52:$J$75)</f>
        <v>3162584.59</v>
      </c>
      <c r="D14" s="29" t="n">
        <f aca="false">SUMIF('Expense Budget'!$A$135:$A$188,A14,'Expense Budget'!$F$135:$F$188)+SUMIF('Revenue Planning'!$A$52:$A$75,A14,'Revenue Planning'!$Q$52:$Q$75)</f>
        <v>2627463.69</v>
      </c>
      <c r="E14" s="15" t="n">
        <f aca="false">C14-D14</f>
        <v>535120.9</v>
      </c>
      <c r="F14" s="17" t="n">
        <f aca="false">IFERROR(E14/C14,"")</f>
        <v>0.169203663893145</v>
      </c>
      <c r="G14" s="17" t="n">
        <f aca="false">IFERROR(C14/C13-1,"")</f>
        <v>0.0145060476031165</v>
      </c>
    </row>
    <row r="15" customFormat="false" ht="15" hidden="false" customHeight="true" outlineLevel="0" collapsed="false">
      <c r="A15" s="12" t="s">
        <v>70</v>
      </c>
      <c r="B15" s="12" t="s">
        <v>153</v>
      </c>
      <c r="C15" s="29" t="n">
        <f aca="false">SUMIF('Revenue Planning'!$A$52:$A$75,A15,'Revenue Planning'!$J$52:$J$75)</f>
        <v>3208488.32</v>
      </c>
      <c r="D15" s="29" t="n">
        <f aca="false">SUMIF('Expense Budget'!$A$135:$A$188,A15,'Expense Budget'!$F$135:$F$188)+SUMIF('Revenue Planning'!$A$52:$A$75,A15,'Revenue Planning'!$Q$52:$Q$75)</f>
        <v>2661259.87</v>
      </c>
      <c r="E15" s="15" t="n">
        <f aca="false">C15-D15</f>
        <v>547228.45</v>
      </c>
      <c r="F15" s="17" t="n">
        <f aca="false">IFERROR(E15/C15,"")</f>
        <v>0.170556472525978</v>
      </c>
      <c r="G15" s="17" t="n">
        <f aca="false">IFERROR(C15/C14-1,"")</f>
        <v>0.0145146252040644</v>
      </c>
    </row>
    <row r="16" customFormat="false" ht="15" hidden="false" customHeight="true" outlineLevel="0" collapsed="false">
      <c r="A16" s="12" t="s">
        <v>71</v>
      </c>
      <c r="B16" s="12" t="s">
        <v>153</v>
      </c>
      <c r="C16" s="29" t="n">
        <f aca="false">SUMIF('Revenue Planning'!$A$52:$A$75,A16,'Revenue Planning'!$J$52:$J$75)</f>
        <v>3255085.86</v>
      </c>
      <c r="D16" s="29" t="n">
        <f aca="false">SUMIF('Expense Budget'!$A$135:$A$188,A16,'Expense Budget'!$F$135:$F$188)+SUMIF('Revenue Planning'!$A$52:$A$75,A16,'Revenue Planning'!$Q$52:$Q$75)</f>
        <v>2695535.33</v>
      </c>
      <c r="E16" s="15" t="n">
        <f aca="false">C16-D16</f>
        <v>559550.53</v>
      </c>
      <c r="F16" s="17" t="n">
        <f aca="false">IFERROR(E16/C16,"")</f>
        <v>0.171900390363282</v>
      </c>
      <c r="G16" s="17" t="n">
        <f aca="false">IFERROR(C16/C15-1,"")</f>
        <v>0.0145232069911354</v>
      </c>
    </row>
    <row r="17" customFormat="false" ht="15" hidden="false" customHeight="true" outlineLevel="0" collapsed="false">
      <c r="A17" s="12" t="s">
        <v>72</v>
      </c>
      <c r="B17" s="12" t="s">
        <v>153</v>
      </c>
      <c r="C17" s="29" t="n">
        <f aca="false">SUMIF('Revenue Planning'!$A$52:$A$75,A17,'Revenue Planning'!$J$52:$J$75)</f>
        <v>3302388.16</v>
      </c>
      <c r="D17" s="29" t="n">
        <f aca="false">SUMIF('Expense Budget'!$A$135:$A$188,A17,'Expense Budget'!$F$135:$F$188)+SUMIF('Revenue Planning'!$A$52:$A$75,A17,'Revenue Planning'!$Q$52:$Q$75)</f>
        <v>2730297.38</v>
      </c>
      <c r="E17" s="15" t="n">
        <f aca="false">C17-D17</f>
        <v>572090.78</v>
      </c>
      <c r="F17" s="17" t="n">
        <f aca="false">IFERROR(E17/C17,"")</f>
        <v>0.173235474536101</v>
      </c>
      <c r="G17" s="17" t="n">
        <f aca="false">IFERROR(C17/C16-1,"")</f>
        <v>0.0145318133021537</v>
      </c>
    </row>
    <row r="18" customFormat="false" ht="15" hidden="false" customHeight="true" outlineLevel="0" collapsed="false">
      <c r="A18" s="30" t="s">
        <v>154</v>
      </c>
      <c r="B18" s="33"/>
      <c r="C18" s="31" t="n">
        <f aca="false">SUM(C12:C17)</f>
        <v>19118726.71</v>
      </c>
      <c r="D18" s="31" t="n">
        <f aca="false">SUM(D12:D17)</f>
        <v>15869976.53</v>
      </c>
      <c r="E18" s="31" t="n">
        <f aca="false">C18-D18</f>
        <v>3248750.18</v>
      </c>
      <c r="F18" s="32" t="n">
        <f aca="false">IFERROR(E18/C18,"")</f>
        <v>0.169925028443487</v>
      </c>
      <c r="G18" s="33"/>
    </row>
  </sheetData>
  <mergeCells count="4">
    <mergeCell ref="A1:G1"/>
    <mergeCell ref="A4:G4"/>
    <mergeCell ref="A5:G5"/>
    <mergeCell ref="A6:G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5" min="5" style="1" width="40"/>
  </cols>
  <sheetData>
    <row r="1" customFormat="false" ht="21.75" hidden="false" customHeight="true" outlineLevel="0" collapsed="false">
      <c r="A1" s="2" t="s">
        <v>155</v>
      </c>
      <c r="B1" s="2"/>
      <c r="C1" s="2"/>
      <c r="D1" s="2"/>
      <c r="E1" s="2"/>
    </row>
    <row r="3" customFormat="false" ht="27.75" hidden="false" customHeight="true" outlineLevel="0" collapsed="false">
      <c r="A3" s="7" t="s">
        <v>156</v>
      </c>
      <c r="B3" s="7" t="s">
        <v>157</v>
      </c>
      <c r="C3" s="7" t="s">
        <v>158</v>
      </c>
      <c r="D3" s="7" t="s">
        <v>159</v>
      </c>
      <c r="E3" s="7" t="s">
        <v>160</v>
      </c>
    </row>
    <row r="4" customFormat="false" ht="15" hidden="false" customHeight="true" outlineLevel="0" collapsed="false">
      <c r="A4" s="35" t="s">
        <v>161</v>
      </c>
      <c r="B4" s="36" t="n">
        <v>-0.02</v>
      </c>
      <c r="C4" s="36" t="n">
        <v>0.04</v>
      </c>
      <c r="D4" s="36" t="n">
        <v>0.09</v>
      </c>
      <c r="E4" s="37" t="s">
        <v>162</v>
      </c>
    </row>
    <row r="5" customFormat="false" ht="15" hidden="false" customHeight="true" outlineLevel="0" collapsed="false">
      <c r="A5" s="35" t="s">
        <v>163</v>
      </c>
      <c r="B5" s="36" t="n">
        <v>0.02</v>
      </c>
      <c r="C5" s="36" t="n">
        <v>0.03</v>
      </c>
      <c r="D5" s="36" t="n">
        <v>0.04</v>
      </c>
      <c r="E5" s="37" t="s">
        <v>164</v>
      </c>
    </row>
    <row r="6" customFormat="false" ht="15" hidden="false" customHeight="true" outlineLevel="0" collapsed="false">
      <c r="A6" s="35" t="s">
        <v>165</v>
      </c>
      <c r="B6" s="17" t="n">
        <f aca="false">(1+B4)*(1+B5)-1</f>
        <v>-0.000399999999999956</v>
      </c>
      <c r="C6" s="17" t="n">
        <f aca="false">(1+C4)*(1+C5)-1</f>
        <v>0.0712000000000002</v>
      </c>
      <c r="D6" s="17" t="n">
        <f aca="false">(1+D4)*(1+D5)-1</f>
        <v>0.1336</v>
      </c>
      <c r="E6" s="37" t="s">
        <v>166</v>
      </c>
    </row>
    <row r="7" customFormat="false" ht="15" hidden="false" customHeight="true" outlineLevel="0" collapsed="false">
      <c r="A7" s="35" t="s">
        <v>167</v>
      </c>
      <c r="B7" s="36" t="n">
        <v>0.05</v>
      </c>
      <c r="C7" s="36" t="n">
        <v>0.06</v>
      </c>
      <c r="D7" s="36" t="n">
        <v>0.07</v>
      </c>
      <c r="E7" s="37" t="s">
        <v>168</v>
      </c>
    </row>
    <row r="8" customFormat="false" ht="15" hidden="false" customHeight="true" outlineLevel="0" collapsed="false">
      <c r="A8" s="35" t="s">
        <v>169</v>
      </c>
      <c r="B8" s="29" t="n">
        <f aca="false">'Budget vs Actual'!D16</f>
        <v>35560258.39</v>
      </c>
      <c r="C8" s="29" t="n">
        <f aca="false">'Budget vs Actual'!D16</f>
        <v>35560258.39</v>
      </c>
      <c r="D8" s="29" t="n">
        <f aca="false">'Budget vs Actual'!D16</f>
        <v>35560258.39</v>
      </c>
      <c r="E8" s="37" t="s">
        <v>170</v>
      </c>
    </row>
    <row r="9" customFormat="false" ht="15" hidden="false" customHeight="true" outlineLevel="0" collapsed="false">
      <c r="A9" s="35" t="s">
        <v>171</v>
      </c>
      <c r="B9" s="15" t="n">
        <f aca="false">B8*(1+B6)</f>
        <v>35546034.286644</v>
      </c>
      <c r="C9" s="15" t="n">
        <f aca="false">C8*(1+C6)</f>
        <v>38092148.787368</v>
      </c>
      <c r="D9" s="15" t="n">
        <f aca="false">D8*(1+D6)</f>
        <v>40311108.910904</v>
      </c>
      <c r="E9" s="37" t="s">
        <v>172</v>
      </c>
    </row>
    <row r="10" customFormat="false" ht="15" hidden="false" customHeight="true" outlineLevel="0" collapsed="false">
      <c r="A10" s="35" t="s">
        <v>173</v>
      </c>
      <c r="B10" s="29" t="n">
        <f aca="false">'Budget vs Actual'!I16</f>
        <v>29691261.35204</v>
      </c>
      <c r="C10" s="29" t="n">
        <f aca="false">'Budget vs Actual'!I16</f>
        <v>29691261.35204</v>
      </c>
      <c r="D10" s="29" t="n">
        <f aca="false">'Budget vs Actual'!I16</f>
        <v>29691261.35204</v>
      </c>
      <c r="E10" s="37" t="s">
        <v>174</v>
      </c>
    </row>
    <row r="11" customFormat="false" ht="15" hidden="false" customHeight="true" outlineLevel="0" collapsed="false">
      <c r="A11" s="35" t="s">
        <v>175</v>
      </c>
      <c r="B11" s="15" t="n">
        <f aca="false">B10*(1+B7)</f>
        <v>31175824.419642</v>
      </c>
      <c r="C11" s="15" t="n">
        <f aca="false">C10*(1+C7)</f>
        <v>31472737.0331624</v>
      </c>
      <c r="D11" s="15" t="n">
        <f aca="false">D10*(1+D7)</f>
        <v>31769649.6466828</v>
      </c>
      <c r="E11" s="37" t="s">
        <v>176</v>
      </c>
    </row>
    <row r="12" customFormat="false" ht="15" hidden="false" customHeight="true" outlineLevel="0" collapsed="false">
      <c r="A12" s="35" t="s">
        <v>177</v>
      </c>
      <c r="B12" s="15" t="n">
        <f aca="false">B9-B11</f>
        <v>4370209.867002</v>
      </c>
      <c r="C12" s="15" t="n">
        <f aca="false">C9-C11</f>
        <v>6619411.75420561</v>
      </c>
      <c r="D12" s="15" t="n">
        <f aca="false">D9-D11</f>
        <v>8541459.2642212</v>
      </c>
      <c r="E12" s="37" t="s">
        <v>178</v>
      </c>
    </row>
    <row r="13" customFormat="false" ht="15" hidden="false" customHeight="true" outlineLevel="0" collapsed="false">
      <c r="A13" s="35" t="s">
        <v>179</v>
      </c>
      <c r="B13" s="17" t="n">
        <f aca="false">IFERROR(B12/B9,"")</f>
        <v>0.122945075441061</v>
      </c>
      <c r="C13" s="17" t="n">
        <f aca="false">IFERROR(C12/C9,"")</f>
        <v>0.173773650605941</v>
      </c>
      <c r="D13" s="17" t="n">
        <f aca="false">IFERROR(D12/D9,"")</f>
        <v>0.211888471813058</v>
      </c>
      <c r="E13" s="37" t="s">
        <v>180</v>
      </c>
    </row>
    <row r="15" customFormat="false" ht="32.25" hidden="false" customHeight="true" outlineLevel="0" collapsed="false">
      <c r="A15" s="11" t="s">
        <v>181</v>
      </c>
      <c r="B15" s="11"/>
      <c r="C15" s="11"/>
      <c r="D15" s="11"/>
      <c r="E15" s="11"/>
    </row>
  </sheetData>
  <mergeCells count="2">
    <mergeCell ref="A1:E1"/>
    <mergeCell ref="A15:E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8"/>
    <col collapsed="false" customWidth="true" hidden="false" outlineLevel="0" max="3" min="3" style="1" width="42"/>
  </cols>
  <sheetData>
    <row r="1" customFormat="false" ht="21.75" hidden="false" customHeight="true" outlineLevel="0" collapsed="false">
      <c r="A1" s="2" t="s">
        <v>182</v>
      </c>
      <c r="B1" s="2"/>
      <c r="C1" s="2"/>
    </row>
    <row r="3" customFormat="false" ht="27.75" hidden="false" customHeight="true" outlineLevel="0" collapsed="false">
      <c r="A3" s="7" t="s">
        <v>183</v>
      </c>
      <c r="B3" s="7" t="s">
        <v>184</v>
      </c>
      <c r="C3" s="7" t="s">
        <v>160</v>
      </c>
    </row>
    <row r="4" customFormat="false" ht="15" hidden="false" customHeight="true" outlineLevel="0" collapsed="false">
      <c r="A4" s="35" t="s">
        <v>185</v>
      </c>
      <c r="B4" s="29" t="n">
        <f aca="false">'Profit Planning'!I17</f>
        <v>35560258.39</v>
      </c>
      <c r="C4" s="37" t="s">
        <v>186</v>
      </c>
    </row>
    <row r="5" customFormat="false" ht="15" hidden="false" customHeight="true" outlineLevel="0" collapsed="false">
      <c r="A5" s="35" t="s">
        <v>187</v>
      </c>
      <c r="B5" s="29" t="n">
        <f aca="false">'Profit Planning'!J17</f>
        <v>24386058.35204</v>
      </c>
      <c r="C5" s="37" t="s">
        <v>188</v>
      </c>
    </row>
    <row r="6" customFormat="false" ht="15" hidden="false" customHeight="true" outlineLevel="0" collapsed="false">
      <c r="A6" s="35" t="s">
        <v>189</v>
      </c>
      <c r="B6" s="15" t="n">
        <f aca="false">B4-B5</f>
        <v>11174200.03796</v>
      </c>
      <c r="C6" s="37" t="s">
        <v>190</v>
      </c>
    </row>
    <row r="7" customFormat="false" ht="15" hidden="false" customHeight="true" outlineLevel="0" collapsed="false">
      <c r="A7" s="35" t="s">
        <v>191</v>
      </c>
      <c r="B7" s="17" t="n">
        <f aca="false">IFERROR(B6/B4,"")</f>
        <v>0.314232813367361</v>
      </c>
      <c r="C7" s="37" t="s">
        <v>192</v>
      </c>
    </row>
    <row r="8" customFormat="false" ht="15" hidden="false" customHeight="true" outlineLevel="0" collapsed="false">
      <c r="A8" s="35" t="s">
        <v>193</v>
      </c>
      <c r="B8" s="29" t="n">
        <f aca="false">'Profit Planning'!M17</f>
        <v>5305203</v>
      </c>
      <c r="C8" s="37" t="s">
        <v>194</v>
      </c>
    </row>
    <row r="9" customFormat="false" ht="15" hidden="false" customHeight="true" outlineLevel="0" collapsed="false">
      <c r="A9" s="35" t="s">
        <v>195</v>
      </c>
      <c r="B9" s="15" t="n">
        <f aca="false">IFERROR(B8/B7,"")</f>
        <v>16883033.1344099</v>
      </c>
      <c r="C9" s="37" t="s">
        <v>196</v>
      </c>
    </row>
    <row r="10" customFormat="false" ht="15" hidden="false" customHeight="true" outlineLevel="0" collapsed="false">
      <c r="A10" s="35" t="s">
        <v>197</v>
      </c>
      <c r="B10" s="38" t="n">
        <f aca="false">SUM('Revenue Planning'!G4:G51)</f>
        <v>877616</v>
      </c>
      <c r="C10" s="37" t="s">
        <v>198</v>
      </c>
    </row>
    <row r="11" customFormat="false" ht="15" hidden="false" customHeight="true" outlineLevel="0" collapsed="false">
      <c r="A11" s="35" t="s">
        <v>199</v>
      </c>
      <c r="B11" s="39" t="n">
        <f aca="false">IFERROR(B4/B10,"")</f>
        <v>40.5191546074821</v>
      </c>
      <c r="C11" s="37" t="s">
        <v>200</v>
      </c>
    </row>
    <row r="12" customFormat="false" ht="15" hidden="false" customHeight="true" outlineLevel="0" collapsed="false">
      <c r="A12" s="35" t="s">
        <v>201</v>
      </c>
      <c r="B12" s="39" t="n">
        <f aca="false">IFERROR(B5/B10,"")</f>
        <v>27.7867066599059</v>
      </c>
      <c r="C12" s="37" t="s">
        <v>202</v>
      </c>
    </row>
    <row r="13" customFormat="false" ht="15" hidden="false" customHeight="true" outlineLevel="0" collapsed="false">
      <c r="A13" s="35" t="s">
        <v>203</v>
      </c>
      <c r="B13" s="38" t="n">
        <f aca="false">IFERROR(B8/(B11-B12),"")</f>
        <v>416667.951193937</v>
      </c>
      <c r="C13" s="37" t="s">
        <v>204</v>
      </c>
    </row>
    <row r="14" customFormat="false" ht="15" hidden="false" customHeight="true" outlineLevel="0" collapsed="false">
      <c r="A14" s="35" t="s">
        <v>205</v>
      </c>
      <c r="B14" s="15" t="n">
        <f aca="false">B4-B9</f>
        <v>18677225.2555901</v>
      </c>
      <c r="C14" s="37" t="s">
        <v>206</v>
      </c>
    </row>
    <row r="15" customFormat="false" ht="15" hidden="false" customHeight="true" outlineLevel="0" collapsed="false">
      <c r="A15" s="35" t="s">
        <v>207</v>
      </c>
      <c r="B15" s="17" t="n">
        <f aca="false">IFERROR(B14/B4,"")</f>
        <v>0.525227489934167</v>
      </c>
      <c r="C15" s="37" t="s">
        <v>208</v>
      </c>
    </row>
    <row r="17" customFormat="false" ht="32.25" hidden="false" customHeight="true" outlineLevel="0" collapsed="false">
      <c r="A17" s="11" t="s">
        <v>209</v>
      </c>
      <c r="B17" s="11"/>
      <c r="C17" s="11"/>
    </row>
  </sheetData>
  <mergeCells count="2">
    <mergeCell ref="A1:C1"/>
    <mergeCell ref="A17:C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8"/>
    <col collapsed="false" customWidth="true" hidden="false" outlineLevel="0" max="3" min="3" style="1" width="42"/>
  </cols>
  <sheetData>
    <row r="1" customFormat="false" ht="21.75" hidden="false" customHeight="true" outlineLevel="0" collapsed="false">
      <c r="A1" s="2" t="s">
        <v>210</v>
      </c>
      <c r="B1" s="2"/>
      <c r="C1" s="2"/>
    </row>
    <row r="3" customFormat="false" ht="27.75" hidden="false" customHeight="true" outlineLevel="0" collapsed="false">
      <c r="A3" s="7" t="s">
        <v>183</v>
      </c>
      <c r="B3" s="7" t="s">
        <v>184</v>
      </c>
      <c r="C3" s="7" t="s">
        <v>160</v>
      </c>
    </row>
    <row r="4" customFormat="false" ht="15" hidden="false" customHeight="true" outlineLevel="0" collapsed="false">
      <c r="A4" s="35" t="s">
        <v>211</v>
      </c>
      <c r="B4" s="29" t="n">
        <f aca="false">'Break-Even Analysis'!B4</f>
        <v>35560258.39</v>
      </c>
      <c r="C4" s="37" t="s">
        <v>212</v>
      </c>
    </row>
    <row r="5" customFormat="false" ht="15" hidden="false" customHeight="true" outlineLevel="0" collapsed="false">
      <c r="A5" s="35" t="s">
        <v>213</v>
      </c>
      <c r="B5" s="29" t="n">
        <f aca="false">'Profit Planning'!N17</f>
        <v>5868997.03796</v>
      </c>
      <c r="C5" s="37" t="s">
        <v>212</v>
      </c>
    </row>
    <row r="6" customFormat="false" ht="15" hidden="false" customHeight="true" outlineLevel="0" collapsed="false">
      <c r="A6" s="35" t="s">
        <v>191</v>
      </c>
      <c r="B6" s="40" t="n">
        <f aca="false">'Break-Even Analysis'!B7</f>
        <v>0.314232813367361</v>
      </c>
      <c r="C6" s="37" t="s">
        <v>214</v>
      </c>
    </row>
    <row r="7" customFormat="false" ht="15" hidden="false" customHeight="true" outlineLevel="0" collapsed="false">
      <c r="A7" s="35" t="s">
        <v>215</v>
      </c>
      <c r="B7" s="29" t="n">
        <f aca="false">'Break-Even Analysis'!B8</f>
        <v>5305203</v>
      </c>
      <c r="C7" s="37" t="s">
        <v>214</v>
      </c>
    </row>
    <row r="8" customFormat="false" ht="15" hidden="false" customHeight="true" outlineLevel="0" collapsed="false">
      <c r="A8" s="35" t="s">
        <v>216</v>
      </c>
      <c r="B8" s="41" t="n">
        <v>7500000</v>
      </c>
      <c r="C8" s="37" t="s">
        <v>217</v>
      </c>
    </row>
    <row r="9" customFormat="false" ht="15" hidden="false" customHeight="true" outlineLevel="0" collapsed="false">
      <c r="A9" s="35" t="s">
        <v>218</v>
      </c>
      <c r="B9" s="15" t="n">
        <f aca="false">(B7+B8)/B6</f>
        <v>40750686.9278791</v>
      </c>
      <c r="C9" s="37" t="s">
        <v>219</v>
      </c>
    </row>
    <row r="10" customFormat="false" ht="15" hidden="false" customHeight="true" outlineLevel="0" collapsed="false">
      <c r="A10" s="35" t="s">
        <v>220</v>
      </c>
      <c r="B10" s="15" t="n">
        <f aca="false">B9-B4</f>
        <v>5190428.53787914</v>
      </c>
      <c r="C10" s="37" t="s">
        <v>221</v>
      </c>
    </row>
    <row r="11" customFormat="false" ht="15" hidden="false" customHeight="true" outlineLevel="0" collapsed="false">
      <c r="A11" s="35" t="s">
        <v>222</v>
      </c>
      <c r="B11" s="17" t="n">
        <f aca="false">IFERROR(B10/B4,"")</f>
        <v>0.145961496706637</v>
      </c>
      <c r="C11" s="37" t="s">
        <v>223</v>
      </c>
    </row>
    <row r="13" customFormat="false" ht="21.75" hidden="false" customHeight="true" outlineLevel="0" collapsed="false">
      <c r="A13" s="11" t="s">
        <v>224</v>
      </c>
      <c r="B13" s="11"/>
      <c r="C13" s="11"/>
    </row>
  </sheetData>
  <mergeCells count="2">
    <mergeCell ref="A1:C1"/>
    <mergeCell ref="A13:C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6"/>
    <col collapsed="false" customWidth="true" hidden="false" outlineLevel="0" max="3" min="3" style="1" width="46"/>
  </cols>
  <sheetData>
    <row r="1" customFormat="false" ht="21.75" hidden="false" customHeight="true" outlineLevel="0" collapsed="false">
      <c r="A1" s="2" t="s">
        <v>225</v>
      </c>
      <c r="B1" s="2"/>
      <c r="C1" s="2"/>
    </row>
    <row r="3" customFormat="false" ht="27.75" hidden="false" customHeight="true" outlineLevel="0" collapsed="false">
      <c r="A3" s="7" t="s">
        <v>226</v>
      </c>
      <c r="B3" s="7" t="s">
        <v>184</v>
      </c>
      <c r="C3" s="7" t="s">
        <v>227</v>
      </c>
    </row>
    <row r="4" customFormat="false" ht="15" hidden="false" customHeight="true" outlineLevel="0" collapsed="false">
      <c r="A4" s="35" t="s">
        <v>228</v>
      </c>
      <c r="B4" s="42" t="n">
        <f aca="false">IFERROR((SUM('Budget vs Actual'!D10:D15)/SUM('Budget vs Actual'!D4:D9))-1,"")</f>
        <v>0.110388556813842</v>
      </c>
      <c r="C4" s="37" t="s">
        <v>229</v>
      </c>
    </row>
    <row r="5" customFormat="false" ht="15" hidden="false" customHeight="true" outlineLevel="0" collapsed="false">
      <c r="A5" s="35" t="s">
        <v>230</v>
      </c>
      <c r="B5" s="42" t="n">
        <f aca="false">IFERROR(('Profit Planning'!I17-SUM('Revenue Planning'!P4:P51))/'Profit Planning'!I17,"")</f>
        <v>0.373037447941896</v>
      </c>
      <c r="C5" s="37" t="s">
        <v>231</v>
      </c>
    </row>
    <row r="6" customFormat="false" ht="15" hidden="false" customHeight="true" outlineLevel="0" collapsed="false">
      <c r="A6" s="35" t="s">
        <v>232</v>
      </c>
      <c r="B6" s="42" t="n">
        <f aca="false">IFERROR('Profit Planning'!N17/'Profit Planning'!I17,"")</f>
        <v>0.16504371181989</v>
      </c>
      <c r="C6" s="37" t="s">
        <v>233</v>
      </c>
    </row>
    <row r="7" customFormat="false" ht="15" hidden="false" customHeight="true" outlineLevel="0" collapsed="false">
      <c r="A7" s="35" t="s">
        <v>234</v>
      </c>
      <c r="B7" s="42" t="n">
        <f aca="false">IFERROR('Profit Planning'!N17/'Profit Planning'!I17,"")</f>
        <v>0.16504371181989</v>
      </c>
      <c r="C7" s="37" t="s">
        <v>235</v>
      </c>
    </row>
    <row r="8" customFormat="false" ht="15" hidden="false" customHeight="true" outlineLevel="0" collapsed="false">
      <c r="A8" s="35" t="s">
        <v>236</v>
      </c>
      <c r="B8" s="42" t="n">
        <f aca="false">IFERROR('Budget vs Actual'!I16/'Budget vs Actual'!D16,"")</f>
        <v>0.83495628818011</v>
      </c>
      <c r="C8" s="37" t="s">
        <v>237</v>
      </c>
    </row>
    <row r="9" customFormat="false" ht="15" hidden="false" customHeight="true" outlineLevel="0" collapsed="false">
      <c r="A9" s="35" t="s">
        <v>238</v>
      </c>
      <c r="B9" s="42" t="n">
        <f aca="false">IFERROR('Budget vs Actual'!D16/'Budget vs Actual'!C16,"")</f>
        <v>0.996508559227672</v>
      </c>
      <c r="C9" s="37" t="s">
        <v>239</v>
      </c>
    </row>
    <row r="10" customFormat="false" ht="15" hidden="false" customHeight="true" outlineLevel="0" collapsed="false">
      <c r="A10" s="35" t="s">
        <v>240</v>
      </c>
      <c r="B10" s="42" t="n">
        <f aca="false">IFERROR('Financial Forecast'!C18/SUM('Budget vs Actual'!D4:D9)-1,"")</f>
        <v>0.134635795587512</v>
      </c>
      <c r="C10" s="37" t="s">
        <v>241</v>
      </c>
    </row>
    <row r="11" customFormat="false" ht="15" hidden="false" customHeight="true" outlineLevel="0" collapsed="false">
      <c r="A11" s="35" t="s">
        <v>242</v>
      </c>
      <c r="B11" s="42" t="n">
        <f aca="false">'Break-Even Analysis'!B7</f>
        <v>0.314232813367361</v>
      </c>
      <c r="C11" s="37" t="s">
        <v>214</v>
      </c>
    </row>
    <row r="12" customFormat="false" ht="15" hidden="false" customHeight="true" outlineLevel="0" collapsed="false">
      <c r="A12" s="35" t="s">
        <v>195</v>
      </c>
      <c r="B12" s="43" t="n">
        <f aca="false">'Break-Even Analysis'!B9</f>
        <v>16883033.1344099</v>
      </c>
      <c r="C12" s="37" t="s">
        <v>214</v>
      </c>
    </row>
    <row r="13" customFormat="false" ht="15" hidden="false" customHeight="true" outlineLevel="0" collapsed="false">
      <c r="A13" s="35" t="s">
        <v>243</v>
      </c>
      <c r="B13" s="43" t="n">
        <f aca="false">'Target Profit Analysis'!B10</f>
        <v>5190428.53787914</v>
      </c>
      <c r="C13" s="37" t="s">
        <v>244</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4" min="2" style="1" width="20"/>
  </cols>
  <sheetData>
    <row r="1" customFormat="false" ht="21.75" hidden="false" customHeight="true" outlineLevel="0" collapsed="false">
      <c r="A1" s="2" t="s">
        <v>245</v>
      </c>
      <c r="B1" s="2"/>
      <c r="C1" s="2"/>
      <c r="D1" s="2"/>
    </row>
    <row r="3" customFormat="false" ht="15" hidden="false" customHeight="true" outlineLevel="0" collapsed="false">
      <c r="A3" s="6" t="s">
        <v>246</v>
      </c>
    </row>
    <row r="4" customFormat="false" ht="27.75" hidden="false" customHeight="true" outlineLevel="0" collapsed="false">
      <c r="A4" s="7" t="s">
        <v>183</v>
      </c>
      <c r="B4" s="7" t="s">
        <v>247</v>
      </c>
      <c r="C4" s="7" t="s">
        <v>184</v>
      </c>
      <c r="D4" s="7"/>
    </row>
    <row r="5" customFormat="false" ht="15" hidden="false" customHeight="true" outlineLevel="0" collapsed="false">
      <c r="A5" s="12" t="s">
        <v>248</v>
      </c>
      <c r="B5" s="44" t="str">
        <f aca="false">INDEX('Revenue Planning'!A81:A84,MATCH(MAX('Revenue Planning'!K81:K84),'Revenue Planning'!K81:K84,0))</f>
        <v>Dairy Products</v>
      </c>
      <c r="C5" s="40" t="n">
        <f aca="false">MAX('Revenue Planning'!K81:K84)</f>
        <v>0.00536179036135277</v>
      </c>
    </row>
    <row r="6" customFormat="false" ht="15" hidden="false" customHeight="true" outlineLevel="0" collapsed="false">
      <c r="A6" s="12" t="s">
        <v>249</v>
      </c>
      <c r="B6" s="44" t="str">
        <f aca="false">INDEX('Revenue Planning'!A81:A84,MATCH(MIN('Revenue Planning'!K81:K84),'Revenue Planning'!K81:K84,0))</f>
        <v>Beverages</v>
      </c>
      <c r="C6" s="40" t="n">
        <f aca="false">MIN('Revenue Planning'!K81:K84)</f>
        <v>-0.0187461985416135</v>
      </c>
    </row>
    <row r="7" customFormat="false" ht="15" hidden="false" customHeight="true" outlineLevel="0" collapsed="false">
      <c r="A7" s="12" t="s">
        <v>250</v>
      </c>
      <c r="B7" s="44" t="str">
        <f aca="false">INDEX('Expense Budget'!A117:A125,MATCH(MAX('Expense Budget'!E117:E125),'Expense Budget'!E117:E125,0))</f>
        <v>Salaries</v>
      </c>
      <c r="C7" s="29" t="n">
        <f aca="false">MAX('Expense Budget'!E117:E125)</f>
        <v>3549486</v>
      </c>
    </row>
    <row r="8" customFormat="false" ht="15" hidden="false" customHeight="true" outlineLevel="0" collapsed="false">
      <c r="A8" s="12" t="s">
        <v>251</v>
      </c>
      <c r="B8" s="44" t="str">
        <f aca="false">INDEX('Expense Budget'!A117:A125,MATCH(MAX('Expense Budget'!G117:G125),'Expense Budget'!G117:G125,0))</f>
        <v>Office Expenses</v>
      </c>
      <c r="C8" s="40" t="n">
        <f aca="false">MAX('Expense Budget'!G117:G125)</f>
        <v>0.0198406295937758</v>
      </c>
    </row>
    <row r="9" customFormat="false" ht="15" hidden="false" customHeight="true" outlineLevel="0" collapsed="false">
      <c r="A9" s="12" t="s">
        <v>252</v>
      </c>
      <c r="B9" s="44" t="str">
        <f aca="false">INDEX('Budget vs Actual'!A4:A15,MATCH(MAX('Budget vs Actual'!P4:P15),'Budget vs Actual'!P4:P15,0))</f>
        <v>Oct-24</v>
      </c>
      <c r="C9" s="40" t="n">
        <f aca="false">MAX('Budget vs Actual'!P4:P15)</f>
        <v>0.178158402888713</v>
      </c>
    </row>
    <row r="10" customFormat="false" ht="15" hidden="false" customHeight="true" outlineLevel="0" collapsed="false">
      <c r="A10" s="12" t="s">
        <v>253</v>
      </c>
      <c r="B10" s="44" t="str">
        <f aca="false">INDEX('Budget vs Actual'!A4:A15,MATCH(MIN('Budget vs Actual'!P4:P15),'Budget vs Actual'!P4:P15,0))</f>
        <v>Jan-25</v>
      </c>
      <c r="C10" s="40" t="n">
        <f aca="false">MIN('Budget vs Actual'!P4:P15)</f>
        <v>-0.366999502425598</v>
      </c>
    </row>
    <row r="12" customFormat="false" ht="15" hidden="false" customHeight="true" outlineLevel="0" collapsed="false">
      <c r="A12" s="6" t="s">
        <v>254</v>
      </c>
    </row>
    <row r="13" customFormat="false" ht="54.75" hidden="false" customHeight="true" outlineLevel="0" collapsed="false">
      <c r="A13" s="45" t="s">
        <v>255</v>
      </c>
      <c r="B13" s="45"/>
      <c r="C13" s="45"/>
      <c r="D13" s="45"/>
    </row>
    <row r="14" customFormat="false" ht="7.5" hidden="false" customHeight="true" outlineLevel="0" collapsed="false">
      <c r="A14" s="45"/>
      <c r="B14" s="45"/>
      <c r="C14" s="45"/>
      <c r="D14" s="45"/>
    </row>
    <row r="15" customFormat="false" ht="54.75" hidden="false" customHeight="true" outlineLevel="0" collapsed="false">
      <c r="A15" s="45" t="s">
        <v>256</v>
      </c>
      <c r="B15" s="45"/>
      <c r="C15" s="45"/>
      <c r="D15" s="45"/>
    </row>
    <row r="16" customFormat="false" ht="7.5" hidden="false" customHeight="true" outlineLevel="0" collapsed="false">
      <c r="A16" s="45"/>
      <c r="B16" s="45"/>
      <c r="C16" s="45"/>
      <c r="D16" s="45"/>
    </row>
    <row r="17" customFormat="false" ht="54.75" hidden="false" customHeight="true" outlineLevel="0" collapsed="false">
      <c r="A17" s="45" t="s">
        <v>257</v>
      </c>
      <c r="B17" s="45"/>
      <c r="C17" s="45"/>
      <c r="D17" s="45"/>
    </row>
    <row r="18" customFormat="false" ht="7.5" hidden="false" customHeight="true" outlineLevel="0" collapsed="false">
      <c r="A18" s="45"/>
      <c r="B18" s="45"/>
      <c r="C18" s="45"/>
      <c r="D18" s="45"/>
    </row>
    <row r="19" customFormat="false" ht="54.75" hidden="false" customHeight="true" outlineLevel="0" collapsed="false">
      <c r="A19" s="45" t="s">
        <v>258</v>
      </c>
      <c r="B19" s="45"/>
      <c r="C19" s="45"/>
      <c r="D19" s="45"/>
    </row>
    <row r="20" customFormat="false" ht="7.5" hidden="false" customHeight="true" outlineLevel="0" collapsed="false">
      <c r="A20" s="45"/>
      <c r="B20" s="45"/>
      <c r="C20" s="45"/>
      <c r="D20" s="45"/>
    </row>
    <row r="21" customFormat="false" ht="54.75" hidden="false" customHeight="true" outlineLevel="0" collapsed="false">
      <c r="A21" s="45" t="s">
        <v>259</v>
      </c>
      <c r="B21" s="45"/>
      <c r="C21" s="45"/>
      <c r="D21" s="45"/>
    </row>
    <row r="23" customFormat="false" ht="21.75" hidden="false" customHeight="true" outlineLevel="0" collapsed="false">
      <c r="A23" s="11" t="s">
        <v>260</v>
      </c>
      <c r="B23" s="11"/>
      <c r="C23" s="11"/>
      <c r="D23" s="11"/>
    </row>
  </sheetData>
  <mergeCells count="11">
    <mergeCell ref="A1:D1"/>
    <mergeCell ref="A13:D13"/>
    <mergeCell ref="A14:D14"/>
    <mergeCell ref="A15:D15"/>
    <mergeCell ref="A16:D16"/>
    <mergeCell ref="A17:D17"/>
    <mergeCell ref="A18:D18"/>
    <mergeCell ref="A19:D19"/>
    <mergeCell ref="A20:D20"/>
    <mergeCell ref="A21:D21"/>
    <mergeCell ref="A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2026-08-13T11:17:26Z</dcterms:created>
  <dc:creator>openpyxl</dc:creator>
  <dc:description/>
  <dc:language>en-US</dc:language>
  <cp:lastModifiedBy/>
  <dcterms:modified xsi:type="dcterms:W3CDTF">2026-08-14T08:03:44Z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